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Main" sheetId="36" r:id="rId1"/>
    <sheet name="1" sheetId="22" r:id="rId2"/>
    <sheet name="2" sheetId="23" r:id="rId3"/>
    <sheet name="3" sheetId="24" r:id="rId4"/>
    <sheet name="4" sheetId="25" r:id="rId5"/>
    <sheet name="5" sheetId="26" r:id="rId6"/>
    <sheet name="6" sheetId="27" r:id="rId7"/>
    <sheet name="7" sheetId="28" r:id="rId8"/>
    <sheet name="8" sheetId="29" r:id="rId9"/>
    <sheet name="9" sheetId="30" r:id="rId10"/>
    <sheet name="10" sheetId="31" r:id="rId11"/>
    <sheet name="11" sheetId="32" r:id="rId12"/>
    <sheet name="12" sheetId="34" r:id="rId1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36" l="1"/>
  <c r="AE10" i="36"/>
  <c r="AG10" i="36" s="1"/>
  <c r="Z10" i="36"/>
  <c r="V10" i="36"/>
  <c r="X10" i="36" s="1"/>
  <c r="Q10" i="36"/>
  <c r="M10" i="36"/>
  <c r="O10" i="36" s="1"/>
  <c r="H10" i="36"/>
  <c r="D10" i="36"/>
  <c r="F10" i="36" s="1"/>
  <c r="AI67" i="36"/>
  <c r="AE67" i="36"/>
  <c r="Z67" i="36"/>
  <c r="V67" i="36"/>
  <c r="Q67" i="36"/>
  <c r="M67" i="36"/>
  <c r="O67" i="36" s="1"/>
  <c r="H67" i="36"/>
  <c r="D67" i="36"/>
  <c r="AI130" i="36"/>
  <c r="AE130" i="36"/>
  <c r="AG130" i="36" s="1"/>
  <c r="Z130" i="36"/>
  <c r="V130" i="36"/>
  <c r="X130" i="36" s="1"/>
  <c r="Q130" i="36"/>
  <c r="M130" i="36"/>
  <c r="D130" i="36"/>
  <c r="F130" i="36" l="1"/>
  <c r="F67" i="36"/>
  <c r="X67" i="36"/>
  <c r="AG67" i="36"/>
  <c r="O130" i="36"/>
  <c r="H130" i="36"/>
  <c r="AH124" i="36"/>
  <c r="AI124" i="36" s="1"/>
  <c r="Y124" i="36"/>
  <c r="Z124" i="36" s="1"/>
  <c r="P124" i="36"/>
  <c r="Q124" i="36" s="1"/>
  <c r="G124" i="36"/>
  <c r="H124" i="36" s="1"/>
  <c r="AH122" i="36"/>
  <c r="AJ130" i="36" s="1"/>
  <c r="Y122" i="36"/>
  <c r="AA130" i="36" s="1"/>
  <c r="P122" i="36"/>
  <c r="R130" i="36" s="1"/>
  <c r="G122" i="36"/>
  <c r="D124" i="36" s="1"/>
  <c r="E124" i="36" s="1"/>
  <c r="E130" i="36" s="1"/>
  <c r="AH61" i="36"/>
  <c r="AI61" i="36" s="1"/>
  <c r="Y61" i="36"/>
  <c r="Z61" i="36" s="1"/>
  <c r="P61" i="36"/>
  <c r="Q61" i="36" s="1"/>
  <c r="G61" i="36"/>
  <c r="H61" i="36" s="1"/>
  <c r="AH59" i="36"/>
  <c r="AJ67" i="36" s="1"/>
  <c r="Y59" i="36"/>
  <c r="AA67" i="36" s="1"/>
  <c r="P59" i="36"/>
  <c r="R67" i="36" s="1"/>
  <c r="G59" i="36"/>
  <c r="AH4" i="36"/>
  <c r="AI4" i="36" s="1"/>
  <c r="AH2" i="36"/>
  <c r="Y4" i="36"/>
  <c r="Z4" i="36" s="1"/>
  <c r="Y2" i="36"/>
  <c r="AA10" i="36" s="1"/>
  <c r="P4" i="36"/>
  <c r="Q4" i="36" s="1"/>
  <c r="P2" i="36"/>
  <c r="G4" i="36"/>
  <c r="H4" i="36" s="1"/>
  <c r="G2" i="36"/>
  <c r="M61" i="36" l="1"/>
  <c r="N61" i="36" s="1"/>
  <c r="N67" i="36" s="1"/>
  <c r="P67" i="36" s="1"/>
  <c r="K67" i="36" s="1"/>
  <c r="L67" i="36" s="1"/>
  <c r="AE4" i="36"/>
  <c r="AF4" i="36" s="1"/>
  <c r="AF10" i="36" s="1"/>
  <c r="AJ10" i="36"/>
  <c r="D4" i="36"/>
  <c r="E4" i="36" s="1"/>
  <c r="E10" i="36" s="1"/>
  <c r="I10" i="36"/>
  <c r="D61" i="36"/>
  <c r="E61" i="36" s="1"/>
  <c r="E67" i="36" s="1"/>
  <c r="I67" i="36"/>
  <c r="M4" i="36"/>
  <c r="N4" i="36" s="1"/>
  <c r="N10" i="36" s="1"/>
  <c r="R10" i="36"/>
  <c r="I130" i="36"/>
  <c r="G130" i="36" s="1"/>
  <c r="B130" i="36" s="1"/>
  <c r="C130" i="36" s="1"/>
  <c r="M124" i="36"/>
  <c r="N124" i="36" s="1"/>
  <c r="N130" i="36" s="1"/>
  <c r="P130" i="36" s="1"/>
  <c r="K130" i="36" s="1"/>
  <c r="L130" i="36" s="1"/>
  <c r="V124" i="36"/>
  <c r="W124" i="36" s="1"/>
  <c r="W130" i="36" s="1"/>
  <c r="Y130" i="36" s="1"/>
  <c r="T130" i="36" s="1"/>
  <c r="U130" i="36" s="1"/>
  <c r="AE124" i="36"/>
  <c r="AF124" i="36" s="1"/>
  <c r="AF130" i="36" s="1"/>
  <c r="AH130" i="36" s="1"/>
  <c r="AC130" i="36" s="1"/>
  <c r="AD130" i="36" s="1"/>
  <c r="V61" i="36"/>
  <c r="W61" i="36" s="1"/>
  <c r="W67" i="36" s="1"/>
  <c r="Y67" i="36" s="1"/>
  <c r="T67" i="36" s="1"/>
  <c r="U67" i="36" s="1"/>
  <c r="AE61" i="36"/>
  <c r="AF61" i="36" s="1"/>
  <c r="AF67" i="36" s="1"/>
  <c r="AH67" i="36" s="1"/>
  <c r="AC67" i="36" s="1"/>
  <c r="AD67" i="36" s="1"/>
  <c r="V4" i="36"/>
  <c r="W4" i="36" s="1"/>
  <c r="W10" i="36" s="1"/>
  <c r="Y10" i="36" s="1"/>
  <c r="T10" i="36" s="1"/>
  <c r="U10" i="36" s="1"/>
  <c r="AI40" i="34"/>
  <c r="AI39" i="34"/>
  <c r="AI38" i="34"/>
  <c r="AI36" i="34"/>
  <c r="AI40" i="32"/>
  <c r="AI39" i="32"/>
  <c r="AI38" i="32"/>
  <c r="AI36" i="32"/>
  <c r="AI40" i="31"/>
  <c r="AI39" i="31"/>
  <c r="AI38" i="31"/>
  <c r="AI36" i="31"/>
  <c r="AI40" i="30"/>
  <c r="AI39" i="30"/>
  <c r="AI38" i="30"/>
  <c r="AI36" i="30"/>
  <c r="AI40" i="29"/>
  <c r="AI39" i="29"/>
  <c r="AI38" i="29"/>
  <c r="AI36" i="29"/>
  <c r="AI40" i="28"/>
  <c r="AI39" i="28"/>
  <c r="AI38" i="28"/>
  <c r="AI36" i="28"/>
  <c r="AI40" i="27"/>
  <c r="AI39" i="27"/>
  <c r="AI38" i="27"/>
  <c r="AI36" i="27"/>
  <c r="AI40" i="26"/>
  <c r="AI39" i="26"/>
  <c r="AI38" i="26"/>
  <c r="AI36" i="26"/>
  <c r="AI40" i="25"/>
  <c r="AI39" i="25"/>
  <c r="AI38" i="25"/>
  <c r="AI36" i="25"/>
  <c r="AI40" i="24"/>
  <c r="AI39" i="24"/>
  <c r="AI38" i="24"/>
  <c r="AI36" i="24"/>
  <c r="AI40" i="23"/>
  <c r="AI39" i="23"/>
  <c r="AI38" i="23"/>
  <c r="AI36" i="23"/>
  <c r="S12" i="22"/>
  <c r="AH10" i="36" l="1"/>
  <c r="AC10" i="36" s="1"/>
  <c r="AD10" i="36" s="1"/>
  <c r="G67" i="36"/>
  <c r="B67" i="36" s="1"/>
  <c r="C67" i="36" s="1"/>
  <c r="P10" i="36"/>
  <c r="K10" i="36" s="1"/>
  <c r="L10" i="36" s="1"/>
  <c r="G10" i="36"/>
  <c r="B10" i="36" s="1"/>
  <c r="C10" i="36" s="1"/>
  <c r="V12" i="22"/>
  <c r="P11" i="34"/>
  <c r="P11" i="28"/>
  <c r="V11" i="28" s="1"/>
  <c r="P11" i="32"/>
  <c r="V11" i="32" s="1"/>
  <c r="P11" i="23"/>
  <c r="V11" i="23" s="1"/>
  <c r="P11" i="26"/>
  <c r="V11" i="26" s="1"/>
  <c r="P11" i="30"/>
  <c r="V11" i="30" s="1"/>
  <c r="P11" i="24"/>
  <c r="V11" i="24" s="1"/>
  <c r="P11" i="27"/>
  <c r="V11" i="27" s="1"/>
  <c r="P11" i="31"/>
  <c r="V11" i="31" s="1"/>
  <c r="P11" i="25"/>
  <c r="V11" i="25" s="1"/>
  <c r="P11" i="29"/>
  <c r="V11" i="29" s="1"/>
  <c r="V11" i="34"/>
  <c r="M11" i="30"/>
  <c r="M11" i="28"/>
  <c r="M11" i="34"/>
  <c r="M11" i="32"/>
  <c r="M11" i="29"/>
  <c r="M11" i="27"/>
  <c r="M11" i="26"/>
  <c r="M11" i="24"/>
  <c r="M11" i="31"/>
  <c r="M11" i="25"/>
  <c r="M11" i="23"/>
  <c r="AI41" i="22"/>
  <c r="AI40" i="22"/>
  <c r="AI39" i="22"/>
  <c r="AI37" i="22"/>
  <c r="J17" i="32" s="1"/>
  <c r="Y17" i="32" s="1"/>
  <c r="J18" i="22" l="1"/>
  <c r="J17" i="27"/>
  <c r="Y17" i="27" s="1"/>
  <c r="J17" i="24"/>
  <c r="Y17" i="24" s="1"/>
  <c r="J17" i="28"/>
  <c r="Y17" i="28" s="1"/>
  <c r="J17" i="26"/>
  <c r="Y17" i="26" s="1"/>
  <c r="J17" i="31"/>
  <c r="Y17" i="31" s="1"/>
  <c r="J17" i="25"/>
  <c r="Y17" i="25" s="1"/>
  <c r="J17" i="30"/>
  <c r="Y17" i="30" s="1"/>
  <c r="J17" i="34"/>
  <c r="Y17" i="34" s="1"/>
  <c r="J17" i="29"/>
  <c r="Y17" i="29" s="1"/>
  <c r="J17" i="23"/>
  <c r="Y17" i="23" s="1"/>
  <c r="Y18" i="22"/>
  <c r="P18" i="26"/>
  <c r="P32" i="26" s="1"/>
  <c r="P18" i="31"/>
  <c r="S18" i="31" s="1"/>
  <c r="S32" i="31" s="1"/>
  <c r="P18" i="23"/>
  <c r="S18" i="23" s="1"/>
  <c r="S32" i="23" s="1"/>
  <c r="P18" i="25"/>
  <c r="P32" i="25" s="1"/>
  <c r="P18" i="27"/>
  <c r="S18" i="27" s="1"/>
  <c r="S32" i="27" s="1"/>
  <c r="P18" i="34"/>
  <c r="P32" i="34" s="1"/>
  <c r="P18" i="28"/>
  <c r="P32" i="28" s="1"/>
  <c r="P18" i="29"/>
  <c r="P32" i="29" s="1"/>
  <c r="P18" i="30"/>
  <c r="S18" i="30" s="1"/>
  <c r="S32" i="30" s="1"/>
  <c r="P18" i="24"/>
  <c r="P32" i="24" s="1"/>
  <c r="P18" i="32"/>
  <c r="S18" i="32" s="1"/>
  <c r="S32" i="32" s="1"/>
  <c r="M12" i="22"/>
  <c r="P19" i="22" s="1"/>
  <c r="S18" i="26"/>
  <c r="S32" i="26" s="1"/>
  <c r="P32" i="31" l="1"/>
  <c r="P32" i="23"/>
  <c r="S18" i="34"/>
  <c r="S32" i="34" s="1"/>
  <c r="P32" i="27"/>
  <c r="P32" i="30"/>
  <c r="S18" i="25"/>
  <c r="S32" i="25" s="1"/>
  <c r="S18" i="28"/>
  <c r="S32" i="28" s="1"/>
  <c r="S18" i="24"/>
  <c r="S32" i="24" s="1"/>
  <c r="P32" i="32"/>
  <c r="S18" i="29"/>
  <c r="S32" i="29" s="1"/>
  <c r="P33" i="22"/>
  <c r="S19" i="22"/>
  <c r="S33" i="22" s="1"/>
</calcChain>
</file>

<file path=xl/sharedStrings.xml><?xml version="1.0" encoding="utf-8"?>
<sst xmlns="http://schemas.openxmlformats.org/spreadsheetml/2006/main" count="1261" uniqueCount="54">
  <si>
    <t>Day</t>
  </si>
  <si>
    <t>Presence-Till-2</t>
  </si>
  <si>
    <t>Presence-From-2:6</t>
  </si>
  <si>
    <t>الأساسي</t>
  </si>
  <si>
    <t>أيام الحضور</t>
  </si>
  <si>
    <t>الأجازات</t>
  </si>
  <si>
    <t>الأضافي</t>
  </si>
  <si>
    <t>السهرات</t>
  </si>
  <si>
    <t>سلفيات</t>
  </si>
  <si>
    <t>أساسي قديم</t>
  </si>
  <si>
    <t>أساسي حالي</t>
  </si>
  <si>
    <t>فئة اليوم</t>
  </si>
  <si>
    <t>الراتب</t>
  </si>
  <si>
    <t>الراتب + مكافأة</t>
  </si>
  <si>
    <t>أساسي</t>
  </si>
  <si>
    <t>شهر ديسمبر 2026</t>
  </si>
  <si>
    <t>شهر نوفمبر 2026</t>
  </si>
  <si>
    <t>شهر اكتوبر 2026</t>
  </si>
  <si>
    <t>شهر سبتمبر 2026</t>
  </si>
  <si>
    <t>شهر أغسطس 2026</t>
  </si>
  <si>
    <t>شهر يوليو 2026</t>
  </si>
  <si>
    <t>شهر يونيو 2026</t>
  </si>
  <si>
    <t>شهرمايو 2026</t>
  </si>
  <si>
    <t>شهر أبريل 2026</t>
  </si>
  <si>
    <t>شهر مارس 2026</t>
  </si>
  <si>
    <t>شهر يناير 2026</t>
  </si>
  <si>
    <t>شهر فبراير 2026</t>
  </si>
  <si>
    <t>الاجازات</t>
  </si>
  <si>
    <t>باقي الاجازات</t>
  </si>
  <si>
    <t>الراتب الحالي</t>
  </si>
  <si>
    <t>ريد الأجازات</t>
  </si>
  <si>
    <t>ايام الاجازات</t>
  </si>
  <si>
    <t>المتبقي</t>
  </si>
  <si>
    <t>الراتب السابق</t>
  </si>
  <si>
    <t>الزيادة السنوية</t>
  </si>
  <si>
    <t>الراتب بعد الزيادة السنوية</t>
  </si>
  <si>
    <t>السبت</t>
  </si>
  <si>
    <t>الأحد</t>
  </si>
  <si>
    <t>الاثنين</t>
  </si>
  <si>
    <t>الثلاثاء</t>
  </si>
  <si>
    <t>الأربعاء</t>
  </si>
  <si>
    <t>الخميس</t>
  </si>
  <si>
    <t>الجمعة</t>
  </si>
  <si>
    <t>أجازات</t>
  </si>
  <si>
    <t>سبب أجازة</t>
  </si>
  <si>
    <t>إضافي</t>
  </si>
  <si>
    <t>سهرات</t>
  </si>
  <si>
    <t>إجمالي أيام العمل</t>
  </si>
  <si>
    <t>راتب أيام العمل</t>
  </si>
  <si>
    <t>يناير</t>
  </si>
  <si>
    <t>فبراير</t>
  </si>
  <si>
    <t>مارس</t>
  </si>
  <si>
    <t>أيام الإضافي</t>
  </si>
  <si>
    <t>حساب الإضافي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</si>
</sst>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10000]d/m/yyyy;@"/>
    <numFmt numFmtId="165" formatCode="#,##0.0"/>
    <numFmt numFmtId="166" formatCode="#,##0.000"/>
  </numFmts>
  <fonts count="15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rgb="FFFF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 style="thick">
        <color indexed="64"/>
      </left>
      <right style="thin">
        <color rgb="FFFF0000"/>
      </right>
      <top style="thin">
        <color rgb="FFFF0000"/>
      </top>
      <bottom style="thick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indexed="64"/>
      </bottom>
      <diagonal/>
    </border>
    <border>
      <left style="thin">
        <color rgb="FFFF0000"/>
      </left>
      <right style="thick">
        <color indexed="64"/>
      </right>
      <top style="thin">
        <color rgb="FFFF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mediumDashed">
        <color indexed="64"/>
      </top>
      <bottom/>
      <diagonal/>
    </border>
    <border>
      <left style="thick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thick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n">
        <color rgb="FFFF0000"/>
      </left>
      <right/>
      <top style="thin">
        <color rgb="FFFF0000"/>
      </top>
      <bottom style="thick">
        <color indexed="64"/>
      </bottom>
      <diagonal/>
    </border>
    <border>
      <left/>
      <right style="thin">
        <color rgb="FFFF0000"/>
      </right>
      <top style="thin">
        <color rgb="FFFF000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0" xfId="0"/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7" xfId="0" applyBorder="1"/>
    <xf numFmtId="0" fontId="8" fillId="0" borderId="1" xfId="0" applyFont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7" fillId="11" borderId="27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7" fillId="13" borderId="27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/>
    </xf>
    <xf numFmtId="0" fontId="7" fillId="14" borderId="27" xfId="0" applyFont="1" applyFill="1" applyBorder="1" applyAlignment="1">
      <alignment horizontal="center" vertical="center"/>
    </xf>
    <xf numFmtId="1" fontId="2" fillId="14" borderId="12" xfId="0" applyNumberFormat="1" applyFont="1" applyFill="1" applyBorder="1" applyAlignment="1">
      <alignment horizontal="center" vertical="center"/>
    </xf>
    <xf numFmtId="1" fontId="2" fillId="14" borderId="3" xfId="0" applyNumberFormat="1" applyFont="1" applyFill="1" applyBorder="1" applyAlignment="1">
      <alignment horizontal="center" vertical="center"/>
    </xf>
    <xf numFmtId="1" fontId="2" fillId="14" borderId="15" xfId="0" applyNumberFormat="1" applyFont="1" applyFill="1" applyBorder="1" applyAlignment="1">
      <alignment horizontal="center" vertical="center"/>
    </xf>
    <xf numFmtId="1" fontId="7" fillId="14" borderId="27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4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3" fillId="15" borderId="28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14" fontId="13" fillId="0" borderId="33" xfId="0" applyNumberFormat="1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4" fillId="6" borderId="39" xfId="0" applyFont="1" applyFill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11" borderId="3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7" borderId="5" xfId="0" applyNumberFormat="1" applyFont="1" applyFill="1" applyBorder="1" applyAlignment="1">
      <alignment horizontal="center" vertical="center"/>
    </xf>
    <xf numFmtId="3" fontId="1" fillId="7" borderId="8" xfId="0" applyNumberFormat="1" applyFont="1" applyFill="1" applyBorder="1" applyAlignment="1">
      <alignment horizontal="center" vertical="center"/>
    </xf>
    <xf numFmtId="3" fontId="1" fillId="7" borderId="6" xfId="0" applyNumberFormat="1" applyFont="1" applyFill="1" applyBorder="1" applyAlignment="1">
      <alignment horizontal="center" vertical="center"/>
    </xf>
    <xf numFmtId="3" fontId="1" fillId="7" borderId="9" xfId="0" applyNumberFormat="1" applyFont="1" applyFill="1" applyBorder="1" applyAlignment="1">
      <alignment horizontal="center" vertical="center"/>
    </xf>
    <xf numFmtId="3" fontId="1" fillId="7" borderId="0" xfId="0" applyNumberFormat="1" applyFont="1" applyFill="1" applyBorder="1" applyAlignment="1">
      <alignment horizontal="center" vertical="center"/>
    </xf>
    <xf numFmtId="3" fontId="1" fillId="7" borderId="10" xfId="0" applyNumberFormat="1" applyFont="1" applyFill="1" applyBorder="1" applyAlignment="1">
      <alignment horizontal="center" vertical="center"/>
    </xf>
    <xf numFmtId="3" fontId="1" fillId="7" borderId="7" xfId="0" applyNumberFormat="1" applyFont="1" applyFill="1" applyBorder="1" applyAlignment="1">
      <alignment horizontal="center" vertical="center"/>
    </xf>
    <xf numFmtId="3" fontId="1" fillId="7" borderId="11" xfId="0" applyNumberFormat="1" applyFont="1" applyFill="1" applyBorder="1" applyAlignment="1">
      <alignment horizontal="center" vertical="center"/>
    </xf>
    <xf numFmtId="3" fontId="1" fillId="7" borderId="4" xfId="0" applyNumberFormat="1" applyFont="1" applyFill="1" applyBorder="1" applyAlignment="1">
      <alignment horizontal="center" vertical="center"/>
    </xf>
    <xf numFmtId="3" fontId="1" fillId="12" borderId="5" xfId="0" applyNumberFormat="1" applyFont="1" applyFill="1" applyBorder="1" applyAlignment="1">
      <alignment horizontal="center" vertical="center"/>
    </xf>
    <xf numFmtId="3" fontId="1" fillId="12" borderId="8" xfId="0" applyNumberFormat="1" applyFont="1" applyFill="1" applyBorder="1" applyAlignment="1">
      <alignment horizontal="center" vertical="center"/>
    </xf>
    <xf numFmtId="3" fontId="1" fillId="12" borderId="6" xfId="0" applyNumberFormat="1" applyFont="1" applyFill="1" applyBorder="1" applyAlignment="1">
      <alignment horizontal="center" vertical="center"/>
    </xf>
    <xf numFmtId="3" fontId="1" fillId="12" borderId="9" xfId="0" applyNumberFormat="1" applyFont="1" applyFill="1" applyBorder="1" applyAlignment="1">
      <alignment horizontal="center" vertical="center"/>
    </xf>
    <xf numFmtId="3" fontId="1" fillId="12" borderId="0" xfId="0" applyNumberFormat="1" applyFont="1" applyFill="1" applyBorder="1" applyAlignment="1">
      <alignment horizontal="center" vertical="center"/>
    </xf>
    <xf numFmtId="3" fontId="1" fillId="12" borderId="10" xfId="0" applyNumberFormat="1" applyFont="1" applyFill="1" applyBorder="1" applyAlignment="1">
      <alignment horizontal="center" vertical="center"/>
    </xf>
    <xf numFmtId="3" fontId="1" fillId="12" borderId="7" xfId="0" applyNumberFormat="1" applyFont="1" applyFill="1" applyBorder="1" applyAlignment="1">
      <alignment horizontal="center" vertical="center"/>
    </xf>
    <xf numFmtId="3" fontId="1" fillId="12" borderId="11" xfId="0" applyNumberFormat="1" applyFont="1" applyFill="1" applyBorder="1" applyAlignment="1">
      <alignment horizontal="center" vertical="center"/>
    </xf>
    <xf numFmtId="3" fontId="1" fillId="12" borderId="4" xfId="0" applyNumberFormat="1" applyFont="1" applyFill="1" applyBorder="1" applyAlignment="1">
      <alignment horizontal="center" vertical="center"/>
    </xf>
    <xf numFmtId="3" fontId="1" fillId="9" borderId="5" xfId="0" applyNumberFormat="1" applyFont="1" applyFill="1" applyBorder="1" applyAlignment="1">
      <alignment horizontal="center" vertical="center"/>
    </xf>
    <xf numFmtId="3" fontId="1" fillId="9" borderId="8" xfId="0" applyNumberFormat="1" applyFont="1" applyFill="1" applyBorder="1" applyAlignment="1">
      <alignment horizontal="center" vertical="center"/>
    </xf>
    <xf numFmtId="3" fontId="1" fillId="9" borderId="6" xfId="0" applyNumberFormat="1" applyFont="1" applyFill="1" applyBorder="1" applyAlignment="1">
      <alignment horizontal="center" vertical="center"/>
    </xf>
    <xf numFmtId="3" fontId="1" fillId="9" borderId="9" xfId="0" applyNumberFormat="1" applyFont="1" applyFill="1" applyBorder="1" applyAlignment="1">
      <alignment horizontal="center" vertical="center"/>
    </xf>
    <xf numFmtId="3" fontId="1" fillId="9" borderId="0" xfId="0" applyNumberFormat="1" applyFont="1" applyFill="1" applyBorder="1" applyAlignment="1">
      <alignment horizontal="center" vertical="center"/>
    </xf>
    <xf numFmtId="3" fontId="1" fillId="9" borderId="10" xfId="0" applyNumberFormat="1" applyFont="1" applyFill="1" applyBorder="1" applyAlignment="1">
      <alignment horizontal="center" vertical="center"/>
    </xf>
    <xf numFmtId="3" fontId="1" fillId="9" borderId="7" xfId="0" applyNumberFormat="1" applyFont="1" applyFill="1" applyBorder="1" applyAlignment="1">
      <alignment horizontal="center" vertical="center"/>
    </xf>
    <xf numFmtId="3" fontId="1" fillId="9" borderId="11" xfId="0" applyNumberFormat="1" applyFont="1" applyFill="1" applyBorder="1" applyAlignment="1">
      <alignment horizontal="center" vertical="center"/>
    </xf>
    <xf numFmtId="3" fontId="1" fillId="9" borderId="4" xfId="0" applyNumberFormat="1" applyFont="1" applyFill="1" applyBorder="1" applyAlignment="1">
      <alignment horizontal="center" vertical="center"/>
    </xf>
    <xf numFmtId="166" fontId="1" fillId="10" borderId="5" xfId="0" applyNumberFormat="1" applyFont="1" applyFill="1" applyBorder="1" applyAlignment="1">
      <alignment horizontal="center" vertical="center"/>
    </xf>
    <xf numFmtId="166" fontId="1" fillId="10" borderId="8" xfId="0" applyNumberFormat="1" applyFont="1" applyFill="1" applyBorder="1" applyAlignment="1">
      <alignment horizontal="center" vertical="center"/>
    </xf>
    <xf numFmtId="166" fontId="1" fillId="10" borderId="6" xfId="0" applyNumberFormat="1" applyFont="1" applyFill="1" applyBorder="1" applyAlignment="1">
      <alignment horizontal="center" vertical="center"/>
    </xf>
    <xf numFmtId="166" fontId="1" fillId="10" borderId="9" xfId="0" applyNumberFormat="1" applyFont="1" applyFill="1" applyBorder="1" applyAlignment="1">
      <alignment horizontal="center" vertical="center"/>
    </xf>
    <xf numFmtId="166" fontId="1" fillId="10" borderId="0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166" fontId="1" fillId="10" borderId="7" xfId="0" applyNumberFormat="1" applyFont="1" applyFill="1" applyBorder="1" applyAlignment="1">
      <alignment horizontal="center" vertical="center"/>
    </xf>
    <xf numFmtId="166" fontId="1" fillId="10" borderId="11" xfId="0" applyNumberFormat="1" applyFont="1" applyFill="1" applyBorder="1" applyAlignment="1">
      <alignment horizontal="center" vertical="center"/>
    </xf>
    <xf numFmtId="166" fontId="1" fillId="10" borderId="4" xfId="0" applyNumberFormat="1" applyFont="1" applyFill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/>
    </xf>
    <xf numFmtId="3" fontId="1" fillId="2" borderId="0" xfId="0" applyNumberFormat="1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4" fontId="1" fillId="5" borderId="5" xfId="0" applyNumberFormat="1" applyFont="1" applyFill="1" applyBorder="1" applyAlignment="1">
      <alignment horizontal="center" vertical="center"/>
    </xf>
    <xf numFmtId="4" fontId="1" fillId="5" borderId="8" xfId="0" applyNumberFormat="1" applyFont="1" applyFill="1" applyBorder="1" applyAlignment="1">
      <alignment horizontal="center" vertical="center"/>
    </xf>
    <xf numFmtId="4" fontId="1" fillId="5" borderId="6" xfId="0" applyNumberFormat="1" applyFont="1" applyFill="1" applyBorder="1" applyAlignment="1">
      <alignment horizontal="center" vertical="center"/>
    </xf>
    <xf numFmtId="4" fontId="1" fillId="5" borderId="9" xfId="0" applyNumberFormat="1" applyFont="1" applyFill="1" applyBorder="1" applyAlignment="1">
      <alignment horizontal="center" vertical="center"/>
    </xf>
    <xf numFmtId="4" fontId="1" fillId="5" borderId="0" xfId="0" applyNumberFormat="1" applyFont="1" applyFill="1" applyBorder="1" applyAlignment="1">
      <alignment horizontal="center" vertical="center"/>
    </xf>
    <xf numFmtId="4" fontId="1" fillId="5" borderId="10" xfId="0" applyNumberFormat="1" applyFont="1" applyFill="1" applyBorder="1" applyAlignment="1">
      <alignment horizontal="center" vertical="center"/>
    </xf>
    <xf numFmtId="4" fontId="1" fillId="5" borderId="7" xfId="0" applyNumberFormat="1" applyFont="1" applyFill="1" applyBorder="1" applyAlignment="1">
      <alignment horizontal="center" vertical="center"/>
    </xf>
    <xf numFmtId="4" fontId="1" fillId="5" borderId="11" xfId="0" applyNumberFormat="1" applyFont="1" applyFill="1" applyBorder="1" applyAlignment="1">
      <alignment horizontal="center" vertical="center"/>
    </xf>
    <xf numFmtId="4" fontId="1" fillId="5" borderId="4" xfId="0" applyNumberFormat="1" applyFont="1" applyFill="1" applyBorder="1" applyAlignment="1">
      <alignment horizontal="center" vertical="center"/>
    </xf>
    <xf numFmtId="4" fontId="1" fillId="11" borderId="5" xfId="0" applyNumberFormat="1" applyFont="1" applyFill="1" applyBorder="1" applyAlignment="1">
      <alignment horizontal="center" vertical="center"/>
    </xf>
    <xf numFmtId="4" fontId="1" fillId="11" borderId="8" xfId="0" applyNumberFormat="1" applyFont="1" applyFill="1" applyBorder="1" applyAlignment="1">
      <alignment horizontal="center" vertical="center"/>
    </xf>
    <xf numFmtId="4" fontId="1" fillId="11" borderId="6" xfId="0" applyNumberFormat="1" applyFont="1" applyFill="1" applyBorder="1" applyAlignment="1">
      <alignment horizontal="center" vertical="center"/>
    </xf>
    <xf numFmtId="4" fontId="1" fillId="11" borderId="9" xfId="0" applyNumberFormat="1" applyFont="1" applyFill="1" applyBorder="1" applyAlignment="1">
      <alignment horizontal="center" vertical="center"/>
    </xf>
    <xf numFmtId="4" fontId="1" fillId="11" borderId="0" xfId="0" applyNumberFormat="1" applyFont="1" applyFill="1" applyBorder="1" applyAlignment="1">
      <alignment horizontal="center" vertical="center"/>
    </xf>
    <xf numFmtId="4" fontId="1" fillId="11" borderId="10" xfId="0" applyNumberFormat="1" applyFont="1" applyFill="1" applyBorder="1" applyAlignment="1">
      <alignment horizontal="center" vertical="center"/>
    </xf>
    <xf numFmtId="4" fontId="1" fillId="11" borderId="7" xfId="0" applyNumberFormat="1" applyFont="1" applyFill="1" applyBorder="1" applyAlignment="1">
      <alignment horizontal="center" vertical="center"/>
    </xf>
    <xf numFmtId="4" fontId="1" fillId="11" borderId="11" xfId="0" applyNumberFormat="1" applyFont="1" applyFill="1" applyBorder="1" applyAlignment="1">
      <alignment horizontal="center" vertical="center"/>
    </xf>
    <xf numFmtId="4" fontId="1" fillId="11" borderId="4" xfId="0" applyNumberFormat="1" applyFont="1" applyFill="1" applyBorder="1" applyAlignment="1">
      <alignment horizontal="center" vertical="center"/>
    </xf>
    <xf numFmtId="3" fontId="12" fillId="6" borderId="5" xfId="0" applyNumberFormat="1" applyFont="1" applyFill="1" applyBorder="1" applyAlignment="1">
      <alignment horizontal="center" vertical="center"/>
    </xf>
    <xf numFmtId="3" fontId="12" fillId="6" borderId="8" xfId="0" applyNumberFormat="1" applyFont="1" applyFill="1" applyBorder="1" applyAlignment="1">
      <alignment horizontal="center" vertical="center"/>
    </xf>
    <xf numFmtId="3" fontId="12" fillId="6" borderId="6" xfId="0" applyNumberFormat="1" applyFont="1" applyFill="1" applyBorder="1" applyAlignment="1">
      <alignment horizontal="center" vertical="center"/>
    </xf>
    <xf numFmtId="3" fontId="12" fillId="6" borderId="9" xfId="0" applyNumberFormat="1" applyFont="1" applyFill="1" applyBorder="1" applyAlignment="1">
      <alignment horizontal="center" vertical="center"/>
    </xf>
    <xf numFmtId="3" fontId="12" fillId="6" borderId="0" xfId="0" applyNumberFormat="1" applyFont="1" applyFill="1" applyBorder="1" applyAlignment="1">
      <alignment horizontal="center" vertical="center"/>
    </xf>
    <xf numFmtId="3" fontId="12" fillId="6" borderId="10" xfId="0" applyNumberFormat="1" applyFont="1" applyFill="1" applyBorder="1" applyAlignment="1">
      <alignment horizontal="center" vertical="center"/>
    </xf>
    <xf numFmtId="3" fontId="12" fillId="6" borderId="7" xfId="0" applyNumberFormat="1" applyFont="1" applyFill="1" applyBorder="1" applyAlignment="1">
      <alignment horizontal="center" vertical="center"/>
    </xf>
    <xf numFmtId="3" fontId="12" fillId="6" borderId="11" xfId="0" applyNumberFormat="1" applyFont="1" applyFill="1" applyBorder="1" applyAlignment="1">
      <alignment horizontal="center" vertical="center"/>
    </xf>
    <xf numFmtId="3" fontId="12" fillId="6" borderId="4" xfId="0" applyNumberFormat="1" applyFont="1" applyFill="1" applyBorder="1" applyAlignment="1">
      <alignment horizontal="center" vertical="center"/>
    </xf>
    <xf numFmtId="165" fontId="1" fillId="8" borderId="5" xfId="0" applyNumberFormat="1" applyFont="1" applyFill="1" applyBorder="1" applyAlignment="1">
      <alignment horizontal="center" vertical="center"/>
    </xf>
    <xf numFmtId="165" fontId="1" fillId="8" borderId="8" xfId="0" applyNumberFormat="1" applyFont="1" applyFill="1" applyBorder="1" applyAlignment="1">
      <alignment horizontal="center" vertical="center"/>
    </xf>
    <xf numFmtId="165" fontId="1" fillId="8" borderId="6" xfId="0" applyNumberFormat="1" applyFont="1" applyFill="1" applyBorder="1" applyAlignment="1">
      <alignment horizontal="center" vertical="center"/>
    </xf>
    <xf numFmtId="165" fontId="1" fillId="8" borderId="9" xfId="0" applyNumberFormat="1" applyFont="1" applyFill="1" applyBorder="1" applyAlignment="1">
      <alignment horizontal="center" vertical="center"/>
    </xf>
    <xf numFmtId="165" fontId="1" fillId="8" borderId="0" xfId="0" applyNumberFormat="1" applyFont="1" applyFill="1" applyBorder="1" applyAlignment="1">
      <alignment horizontal="center" vertical="center"/>
    </xf>
    <xf numFmtId="165" fontId="1" fillId="8" borderId="10" xfId="0" applyNumberFormat="1" applyFont="1" applyFill="1" applyBorder="1" applyAlignment="1">
      <alignment horizontal="center" vertical="center"/>
    </xf>
    <xf numFmtId="165" fontId="1" fillId="8" borderId="7" xfId="0" applyNumberFormat="1" applyFont="1" applyFill="1" applyBorder="1" applyAlignment="1">
      <alignment horizontal="center" vertical="center"/>
    </xf>
    <xf numFmtId="165" fontId="1" fillId="8" borderId="11" xfId="0" applyNumberFormat="1" applyFont="1" applyFill="1" applyBorder="1" applyAlignment="1">
      <alignment horizontal="center" vertical="center"/>
    </xf>
    <xf numFmtId="165" fontId="1" fillId="8" borderId="4" xfId="0" applyNumberFormat="1" applyFont="1" applyFill="1" applyBorder="1" applyAlignment="1">
      <alignment horizontal="center" vertical="center"/>
    </xf>
    <xf numFmtId="165" fontId="12" fillId="6" borderId="5" xfId="0" applyNumberFormat="1" applyFont="1" applyFill="1" applyBorder="1" applyAlignment="1">
      <alignment horizontal="center" vertical="center"/>
    </xf>
    <xf numFmtId="165" fontId="12" fillId="6" borderId="8" xfId="0" applyNumberFormat="1" applyFont="1" applyFill="1" applyBorder="1" applyAlignment="1">
      <alignment horizontal="center" vertical="center"/>
    </xf>
    <xf numFmtId="165" fontId="12" fillId="6" borderId="6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5" fontId="12" fillId="6" borderId="0" xfId="0" applyNumberFormat="1" applyFont="1" applyFill="1" applyBorder="1" applyAlignment="1">
      <alignment horizontal="center" vertical="center"/>
    </xf>
    <xf numFmtId="165" fontId="12" fillId="6" borderId="10" xfId="0" applyNumberFormat="1" applyFont="1" applyFill="1" applyBorder="1" applyAlignment="1">
      <alignment horizontal="center" vertical="center"/>
    </xf>
    <xf numFmtId="165" fontId="12" fillId="6" borderId="7" xfId="0" applyNumberFormat="1" applyFont="1" applyFill="1" applyBorder="1" applyAlignment="1">
      <alignment horizontal="center" vertical="center"/>
    </xf>
    <xf numFmtId="165" fontId="12" fillId="6" borderId="11" xfId="0" applyNumberFormat="1" applyFont="1" applyFill="1" applyBorder="1" applyAlignment="1">
      <alignment horizontal="center" vertical="center"/>
    </xf>
    <xf numFmtId="165" fontId="12" fillId="6" borderId="4" xfId="0" applyNumberFormat="1" applyFont="1" applyFill="1" applyBorder="1" applyAlignment="1">
      <alignment horizontal="center" vertical="center"/>
    </xf>
    <xf numFmtId="4" fontId="1" fillId="10" borderId="5" xfId="0" applyNumberFormat="1" applyFont="1" applyFill="1" applyBorder="1" applyAlignment="1">
      <alignment horizontal="center" vertical="center"/>
    </xf>
    <xf numFmtId="4" fontId="1" fillId="10" borderId="8" xfId="0" applyNumberFormat="1" applyFont="1" applyFill="1" applyBorder="1" applyAlignment="1">
      <alignment horizontal="center" vertical="center"/>
    </xf>
    <xf numFmtId="4" fontId="1" fillId="10" borderId="6" xfId="0" applyNumberFormat="1" applyFont="1" applyFill="1" applyBorder="1" applyAlignment="1">
      <alignment horizontal="center" vertical="center"/>
    </xf>
    <xf numFmtId="4" fontId="1" fillId="10" borderId="9" xfId="0" applyNumberFormat="1" applyFont="1" applyFill="1" applyBorder="1" applyAlignment="1">
      <alignment horizontal="center" vertical="center"/>
    </xf>
    <xf numFmtId="4" fontId="1" fillId="10" borderId="0" xfId="0" applyNumberFormat="1" applyFont="1" applyFill="1" applyBorder="1" applyAlignment="1">
      <alignment horizontal="center" vertical="center"/>
    </xf>
    <xf numFmtId="4" fontId="1" fillId="10" borderId="10" xfId="0" applyNumberFormat="1" applyFont="1" applyFill="1" applyBorder="1" applyAlignment="1">
      <alignment horizontal="center" vertical="center"/>
    </xf>
    <xf numFmtId="4" fontId="1" fillId="10" borderId="7" xfId="0" applyNumberFormat="1" applyFont="1" applyFill="1" applyBorder="1" applyAlignment="1">
      <alignment horizontal="center" vertical="center"/>
    </xf>
    <xf numFmtId="4" fontId="1" fillId="10" borderId="11" xfId="0" applyNumberFormat="1" applyFont="1" applyFill="1" applyBorder="1" applyAlignment="1">
      <alignment horizontal="center" vertical="center"/>
    </xf>
    <xf numFmtId="4" fontId="1" fillId="1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FF00"/>
      <color rgb="FF99FFCC"/>
      <color rgb="FF99FF66"/>
      <color rgb="FF0F13B1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79"/>
  <sheetViews>
    <sheetView rightToLeft="1" tabSelected="1" topLeftCell="A2" zoomScaleNormal="100" workbookViewId="0">
      <selection activeCell="F2" sqref="F2"/>
    </sheetView>
  </sheetViews>
  <sheetFormatPr defaultColWidth="15.6640625" defaultRowHeight="14.4"/>
  <cols>
    <col min="1" max="16384" width="15.6640625" style="54"/>
  </cols>
  <sheetData>
    <row r="1" spans="2:36">
      <c r="E1" s="54" t="s">
        <v>33</v>
      </c>
      <c r="F1" s="54" t="s">
        <v>34</v>
      </c>
      <c r="G1" s="54" t="s">
        <v>35</v>
      </c>
      <c r="N1" s="54" t="s">
        <v>33</v>
      </c>
      <c r="O1" s="54" t="s">
        <v>34</v>
      </c>
      <c r="P1" s="54" t="s">
        <v>35</v>
      </c>
      <c r="W1" s="54" t="s">
        <v>33</v>
      </c>
      <c r="X1" s="54" t="s">
        <v>34</v>
      </c>
      <c r="Y1" s="54" t="s">
        <v>35</v>
      </c>
      <c r="AF1" s="54" t="s">
        <v>33</v>
      </c>
      <c r="AG1" s="54" t="s">
        <v>34</v>
      </c>
      <c r="AH1" s="54" t="s">
        <v>35</v>
      </c>
    </row>
    <row r="2" spans="2:36">
      <c r="E2" s="54">
        <v>1500</v>
      </c>
      <c r="F2" s="55">
        <v>0.15</v>
      </c>
      <c r="G2" s="54">
        <f>SUM(E2+(E2*F2))</f>
        <v>1725</v>
      </c>
      <c r="N2" s="54">
        <v>1500</v>
      </c>
      <c r="O2" s="55">
        <v>0.15</v>
      </c>
      <c r="P2" s="54">
        <f>SUM(N2+(N2*O2))</f>
        <v>1725</v>
      </c>
      <c r="W2" s="54">
        <v>1500</v>
      </c>
      <c r="X2" s="55">
        <v>0.15</v>
      </c>
      <c r="Y2" s="54">
        <f>SUM(W2+(W2*X2))</f>
        <v>1725</v>
      </c>
      <c r="AF2" s="54">
        <v>1500</v>
      </c>
      <c r="AG2" s="55">
        <v>0.15</v>
      </c>
      <c r="AH2" s="54">
        <f>SUM(AF2+(AF2*AG2))</f>
        <v>1725</v>
      </c>
    </row>
    <row r="3" spans="2:36">
      <c r="D3" s="54" t="s">
        <v>29</v>
      </c>
      <c r="E3" s="54" t="s">
        <v>11</v>
      </c>
      <c r="F3" s="54" t="s">
        <v>30</v>
      </c>
      <c r="G3" s="54" t="s">
        <v>31</v>
      </c>
      <c r="H3" s="54" t="s">
        <v>32</v>
      </c>
      <c r="M3" s="54" t="s">
        <v>29</v>
      </c>
      <c r="N3" s="54" t="s">
        <v>11</v>
      </c>
      <c r="O3" s="54" t="s">
        <v>30</v>
      </c>
      <c r="P3" s="54" t="s">
        <v>31</v>
      </c>
      <c r="Q3" s="54" t="s">
        <v>32</v>
      </c>
      <c r="V3" s="54" t="s">
        <v>29</v>
      </c>
      <c r="W3" s="54" t="s">
        <v>11</v>
      </c>
      <c r="X3" s="54" t="s">
        <v>30</v>
      </c>
      <c r="Y3" s="54" t="s">
        <v>31</v>
      </c>
      <c r="Z3" s="54" t="s">
        <v>32</v>
      </c>
      <c r="AE3" s="54" t="s">
        <v>29</v>
      </c>
      <c r="AF3" s="54" t="s">
        <v>11</v>
      </c>
      <c r="AG3" s="54" t="s">
        <v>30</v>
      </c>
      <c r="AH3" s="54" t="s">
        <v>31</v>
      </c>
      <c r="AI3" s="54" t="s">
        <v>32</v>
      </c>
    </row>
    <row r="4" spans="2:36">
      <c r="D4" s="54">
        <f>SUM(G2)</f>
        <v>1725</v>
      </c>
      <c r="E4" s="56">
        <f>SUM(D4/30)</f>
        <v>57.5</v>
      </c>
      <c r="F4" s="54">
        <v>30</v>
      </c>
      <c r="G4" s="54">
        <f>SUM(C15:I15,C22:I22,C36:I36)</f>
        <v>0</v>
      </c>
      <c r="H4" s="54">
        <f>SUM(F4-G4)</f>
        <v>30</v>
      </c>
      <c r="M4" s="54">
        <f>SUM(P2)</f>
        <v>1725</v>
      </c>
      <c r="N4" s="56">
        <f>SUM(M4/30)</f>
        <v>57.5</v>
      </c>
      <c r="O4" s="54">
        <v>30</v>
      </c>
      <c r="P4" s="54">
        <f>SUM(L15:R15,L22:R22,L36:R36)</f>
        <v>0</v>
      </c>
      <c r="Q4" s="54">
        <f>SUM(O4-P4)</f>
        <v>30</v>
      </c>
      <c r="V4" s="54">
        <f>SUM(Y2)</f>
        <v>1725</v>
      </c>
      <c r="W4" s="56">
        <f>SUM(V4/30)</f>
        <v>57.5</v>
      </c>
      <c r="X4" s="54">
        <v>30</v>
      </c>
      <c r="Y4" s="54">
        <f>SUM(U15:AA15,U22:AA22,U36:AA36)</f>
        <v>0</v>
      </c>
      <c r="Z4" s="54">
        <f>SUM(X4-Y4)</f>
        <v>30</v>
      </c>
      <c r="AE4" s="54">
        <f>SUM(AH2)</f>
        <v>1725</v>
      </c>
      <c r="AF4" s="56">
        <f>SUM(AE4/30)</f>
        <v>57.5</v>
      </c>
      <c r="AG4" s="54">
        <v>30</v>
      </c>
      <c r="AH4" s="54">
        <f>SUM(AD15:AJ15,AD22:AJ22,AD36:AJ36)</f>
        <v>0</v>
      </c>
      <c r="AI4" s="54">
        <f>SUM(AG4-AH4)</f>
        <v>30</v>
      </c>
    </row>
    <row r="5" spans="2:36">
      <c r="E5" s="56"/>
    </row>
    <row r="6" spans="2:36" ht="15" thickBot="1">
      <c r="E6" s="56"/>
    </row>
    <row r="7" spans="2:36" ht="15" thickTop="1">
      <c r="B7" s="87" t="s">
        <v>49</v>
      </c>
      <c r="C7" s="88"/>
      <c r="D7" s="88"/>
      <c r="E7" s="88"/>
      <c r="F7" s="88"/>
      <c r="G7" s="88"/>
      <c r="H7" s="88"/>
      <c r="I7" s="89"/>
      <c r="K7" s="87" t="s">
        <v>50</v>
      </c>
      <c r="L7" s="88"/>
      <c r="M7" s="88"/>
      <c r="N7" s="88"/>
      <c r="O7" s="88"/>
      <c r="P7" s="88"/>
      <c r="Q7" s="88"/>
      <c r="R7" s="89"/>
      <c r="T7" s="87" t="s">
        <v>51</v>
      </c>
      <c r="U7" s="88"/>
      <c r="V7" s="88"/>
      <c r="W7" s="88"/>
      <c r="X7" s="88"/>
      <c r="Y7" s="88"/>
      <c r="Z7" s="88"/>
      <c r="AA7" s="89"/>
      <c r="AC7" s="87" t="s">
        <v>51</v>
      </c>
      <c r="AD7" s="88"/>
      <c r="AE7" s="88"/>
      <c r="AF7" s="88"/>
      <c r="AG7" s="88"/>
      <c r="AH7" s="88"/>
      <c r="AI7" s="88"/>
      <c r="AJ7" s="89"/>
    </row>
    <row r="8" spans="2:36" ht="15" thickBot="1">
      <c r="B8" s="90"/>
      <c r="C8" s="91"/>
      <c r="D8" s="91"/>
      <c r="E8" s="91"/>
      <c r="F8" s="91"/>
      <c r="G8" s="91"/>
      <c r="H8" s="91"/>
      <c r="I8" s="92"/>
      <c r="K8" s="90"/>
      <c r="L8" s="91"/>
      <c r="M8" s="91"/>
      <c r="N8" s="91"/>
      <c r="O8" s="91"/>
      <c r="P8" s="91"/>
      <c r="Q8" s="91"/>
      <c r="R8" s="92"/>
      <c r="T8" s="90"/>
      <c r="U8" s="91"/>
      <c r="V8" s="91"/>
      <c r="W8" s="91"/>
      <c r="X8" s="91"/>
      <c r="Y8" s="91"/>
      <c r="Z8" s="91"/>
      <c r="AA8" s="92"/>
      <c r="AC8" s="90"/>
      <c r="AD8" s="91"/>
      <c r="AE8" s="91"/>
      <c r="AF8" s="91"/>
      <c r="AG8" s="91"/>
      <c r="AH8" s="91"/>
      <c r="AI8" s="91"/>
      <c r="AJ8" s="92"/>
    </row>
    <row r="9" spans="2:36" ht="15" thickTop="1">
      <c r="B9" s="66" t="s">
        <v>12</v>
      </c>
      <c r="C9" s="64" t="s">
        <v>13</v>
      </c>
      <c r="D9" s="67" t="s">
        <v>52</v>
      </c>
      <c r="E9" s="67" t="s">
        <v>53</v>
      </c>
      <c r="F9" s="67" t="s">
        <v>47</v>
      </c>
      <c r="G9" s="67" t="s">
        <v>48</v>
      </c>
      <c r="H9" s="67" t="s">
        <v>7</v>
      </c>
      <c r="I9" s="68" t="s">
        <v>3</v>
      </c>
      <c r="K9" s="66" t="s">
        <v>12</v>
      </c>
      <c r="L9" s="64" t="s">
        <v>13</v>
      </c>
      <c r="M9" s="67" t="s">
        <v>52</v>
      </c>
      <c r="N9" s="67" t="s">
        <v>53</v>
      </c>
      <c r="O9" s="67" t="s">
        <v>47</v>
      </c>
      <c r="P9" s="67" t="s">
        <v>48</v>
      </c>
      <c r="Q9" s="67" t="s">
        <v>7</v>
      </c>
      <c r="R9" s="68" t="s">
        <v>3</v>
      </c>
      <c r="T9" s="66" t="s">
        <v>12</v>
      </c>
      <c r="U9" s="64" t="s">
        <v>13</v>
      </c>
      <c r="V9" s="67" t="s">
        <v>52</v>
      </c>
      <c r="W9" s="67" t="s">
        <v>53</v>
      </c>
      <c r="X9" s="67" t="s">
        <v>47</v>
      </c>
      <c r="Y9" s="67" t="s">
        <v>48</v>
      </c>
      <c r="Z9" s="67" t="s">
        <v>7</v>
      </c>
      <c r="AA9" s="68" t="s">
        <v>3</v>
      </c>
      <c r="AC9" s="66" t="s">
        <v>12</v>
      </c>
      <c r="AD9" s="64" t="s">
        <v>13</v>
      </c>
      <c r="AE9" s="67" t="s">
        <v>52</v>
      </c>
      <c r="AF9" s="67" t="s">
        <v>53</v>
      </c>
      <c r="AG9" s="67" t="s">
        <v>47</v>
      </c>
      <c r="AH9" s="67" t="s">
        <v>48</v>
      </c>
      <c r="AI9" s="67" t="s">
        <v>7</v>
      </c>
      <c r="AJ9" s="68" t="s">
        <v>3</v>
      </c>
    </row>
    <row r="10" spans="2:36" ht="15" thickBot="1">
      <c r="B10" s="65">
        <f>SUM(G10:H10)</f>
        <v>3967.5</v>
      </c>
      <c r="C10" s="65">
        <f>SUM(B10+I10)</f>
        <v>5692.5</v>
      </c>
      <c r="D10" s="69">
        <f>SUM(C16:I16,C23:I23,C30:I30,C37:I37,C44:I44,C51:I51)</f>
        <v>39</v>
      </c>
      <c r="E10" s="69">
        <f>SUM(D10*E4)</f>
        <v>2242.5</v>
      </c>
      <c r="F10" s="69">
        <f>SUM(D10+30)</f>
        <v>69</v>
      </c>
      <c r="G10" s="69">
        <f>SUM(I10+E10)</f>
        <v>3967.5</v>
      </c>
      <c r="H10" s="69">
        <f>SUM(C17:I17,C24:I24,C31:I31,C38:I38,C45:I45,C52:I52)*20</f>
        <v>0</v>
      </c>
      <c r="I10" s="70">
        <f>SUM(G2)</f>
        <v>1725</v>
      </c>
      <c r="K10" s="65">
        <f>SUM(P10:Q10)</f>
        <v>3967.5</v>
      </c>
      <c r="L10" s="65">
        <f>SUM(K10+R10)</f>
        <v>5692.5</v>
      </c>
      <c r="M10" s="69">
        <f>SUM(L16:R16,L23:R23,L30:R30,L37:R37,L44:R44,L51:R51)</f>
        <v>39</v>
      </c>
      <c r="N10" s="69">
        <f>SUM(M10*N4)</f>
        <v>2242.5</v>
      </c>
      <c r="O10" s="69">
        <f>SUM(M10+30)</f>
        <v>69</v>
      </c>
      <c r="P10" s="69">
        <f>SUM(R10+N10)</f>
        <v>3967.5</v>
      </c>
      <c r="Q10" s="69">
        <f>SUM(L17:R17,L24:R24,L31:R31,L38:R38,L45:R45,L52:R52)*20</f>
        <v>0</v>
      </c>
      <c r="R10" s="70">
        <f>SUM(P2)</f>
        <v>1725</v>
      </c>
      <c r="T10" s="65">
        <f>SUM(Y10:Z10)</f>
        <v>3795</v>
      </c>
      <c r="U10" s="65">
        <f>SUM(T10+AA10)</f>
        <v>5520</v>
      </c>
      <c r="V10" s="69">
        <f>SUM(U16:AA16,U23:AA23,U30:AA30,U37:AA37,U44:AA44,U51:AA51)</f>
        <v>36</v>
      </c>
      <c r="W10" s="69">
        <f>SUM(V10*W4)</f>
        <v>2070</v>
      </c>
      <c r="X10" s="69">
        <f>SUM(V10+30)</f>
        <v>66</v>
      </c>
      <c r="Y10" s="69">
        <f>SUM(AA10+W10)</f>
        <v>3795</v>
      </c>
      <c r="Z10" s="69">
        <f>SUM(U17:AA17,U24:AA24,U31:AA31,U38:AA38,U45:AA45,U52:AA52)*20</f>
        <v>0</v>
      </c>
      <c r="AA10" s="70">
        <f>SUM(Y2)</f>
        <v>1725</v>
      </c>
      <c r="AC10" s="65">
        <f>SUM(AH10:AI10)</f>
        <v>4082.5</v>
      </c>
      <c r="AD10" s="65">
        <f>SUM(AC10+AJ10)</f>
        <v>5807.5</v>
      </c>
      <c r="AE10" s="69">
        <f>SUM(AD16:AJ16,AD23:AJ23,AD30:AJ30,AD37:AJ37,AD44:AJ44,AD51:AJ51)</f>
        <v>41</v>
      </c>
      <c r="AF10" s="69">
        <f>SUM(AE10*AF4)</f>
        <v>2357.5</v>
      </c>
      <c r="AG10" s="69">
        <f>SUM(AE10+30)</f>
        <v>71</v>
      </c>
      <c r="AH10" s="69">
        <f>SUM(AJ10+AF10)</f>
        <v>4082.5</v>
      </c>
      <c r="AI10" s="69">
        <f>SUM(AD17:AJ17,AD24:AJ24,AD31:AJ31,AD38:AJ38,AD45:AJ45,AD52:AJ52)*20</f>
        <v>0</v>
      </c>
      <c r="AJ10" s="70">
        <f>SUM(AH2)</f>
        <v>1725</v>
      </c>
    </row>
    <row r="11" spans="2:36" s="1" customFormat="1" ht="15.6" thickTop="1" thickBot="1"/>
    <row r="12" spans="2:36" ht="15" thickTop="1">
      <c r="B12" s="71"/>
      <c r="C12" s="72" t="s">
        <v>36</v>
      </c>
      <c r="D12" s="72" t="s">
        <v>37</v>
      </c>
      <c r="E12" s="72" t="s">
        <v>38</v>
      </c>
      <c r="F12" s="72" t="s">
        <v>39</v>
      </c>
      <c r="G12" s="72" t="s">
        <v>40</v>
      </c>
      <c r="H12" s="72" t="s">
        <v>41</v>
      </c>
      <c r="I12" s="86" t="s">
        <v>42</v>
      </c>
      <c r="K12" s="71"/>
      <c r="L12" s="72" t="s">
        <v>36</v>
      </c>
      <c r="M12" s="72" t="s">
        <v>37</v>
      </c>
      <c r="N12" s="72" t="s">
        <v>38</v>
      </c>
      <c r="O12" s="72" t="s">
        <v>39</v>
      </c>
      <c r="P12" s="72" t="s">
        <v>40</v>
      </c>
      <c r="Q12" s="72" t="s">
        <v>41</v>
      </c>
      <c r="R12" s="86" t="s">
        <v>42</v>
      </c>
      <c r="T12" s="71"/>
      <c r="U12" s="72" t="s">
        <v>36</v>
      </c>
      <c r="V12" s="72" t="s">
        <v>37</v>
      </c>
      <c r="W12" s="72" t="s">
        <v>38</v>
      </c>
      <c r="X12" s="72" t="s">
        <v>39</v>
      </c>
      <c r="Y12" s="72" t="s">
        <v>40</v>
      </c>
      <c r="Z12" s="72" t="s">
        <v>41</v>
      </c>
      <c r="AA12" s="86" t="s">
        <v>42</v>
      </c>
      <c r="AC12" s="71"/>
      <c r="AD12" s="72" t="s">
        <v>36</v>
      </c>
      <c r="AE12" s="72" t="s">
        <v>37</v>
      </c>
      <c r="AF12" s="72" t="s">
        <v>38</v>
      </c>
      <c r="AG12" s="72" t="s">
        <v>39</v>
      </c>
      <c r="AH12" s="72" t="s">
        <v>40</v>
      </c>
      <c r="AI12" s="72" t="s">
        <v>41</v>
      </c>
      <c r="AJ12" s="86" t="s">
        <v>42</v>
      </c>
    </row>
    <row r="13" spans="2:36" ht="15" thickBot="1">
      <c r="B13" s="74"/>
      <c r="C13" s="60">
        <v>46018</v>
      </c>
      <c r="D13" s="60">
        <v>46019</v>
      </c>
      <c r="E13" s="60">
        <v>46020</v>
      </c>
      <c r="F13" s="60">
        <v>46021</v>
      </c>
      <c r="G13" s="60">
        <v>46022</v>
      </c>
      <c r="H13" s="60">
        <v>46023</v>
      </c>
      <c r="I13" s="75">
        <v>46024</v>
      </c>
      <c r="K13" s="74"/>
      <c r="L13" s="60"/>
      <c r="M13" s="60"/>
      <c r="N13" s="60"/>
      <c r="O13" s="60">
        <v>46049</v>
      </c>
      <c r="P13" s="60">
        <v>46050</v>
      </c>
      <c r="Q13" s="60">
        <v>46051</v>
      </c>
      <c r="R13" s="75">
        <v>46052</v>
      </c>
      <c r="S13" s="60"/>
      <c r="T13" s="74"/>
      <c r="U13" s="60"/>
      <c r="V13" s="60"/>
      <c r="W13" s="60"/>
      <c r="X13" s="60"/>
      <c r="Y13" s="60"/>
      <c r="Z13" s="60"/>
      <c r="AA13" s="75">
        <v>46080</v>
      </c>
      <c r="AC13" s="74"/>
      <c r="AD13" s="60"/>
      <c r="AE13" s="60"/>
      <c r="AF13" s="60"/>
      <c r="AG13" s="60"/>
      <c r="AH13" s="60"/>
      <c r="AI13" s="60"/>
      <c r="AJ13" s="75">
        <v>46108</v>
      </c>
    </row>
    <row r="14" spans="2:36" ht="15.6" thickTop="1" thickBot="1">
      <c r="B14" s="77" t="s">
        <v>44</v>
      </c>
      <c r="C14" s="78"/>
      <c r="D14" s="72"/>
      <c r="E14" s="72"/>
      <c r="F14" s="72"/>
      <c r="G14" s="72"/>
      <c r="H14" s="72"/>
      <c r="I14" s="73"/>
      <c r="K14" s="77" t="s">
        <v>44</v>
      </c>
      <c r="L14" s="78"/>
      <c r="M14" s="72"/>
      <c r="N14" s="72"/>
      <c r="O14" s="72"/>
      <c r="P14" s="72"/>
      <c r="Q14" s="72"/>
      <c r="R14" s="73"/>
      <c r="T14" s="77" t="s">
        <v>44</v>
      </c>
      <c r="U14" s="78"/>
      <c r="V14" s="72"/>
      <c r="W14" s="72"/>
      <c r="X14" s="72"/>
      <c r="Y14" s="72"/>
      <c r="Z14" s="72"/>
      <c r="AA14" s="73"/>
      <c r="AC14" s="77" t="s">
        <v>44</v>
      </c>
      <c r="AD14" s="78"/>
      <c r="AE14" s="72"/>
      <c r="AF14" s="72"/>
      <c r="AG14" s="72"/>
      <c r="AH14" s="72"/>
      <c r="AI14" s="72"/>
      <c r="AJ14" s="73"/>
    </row>
    <row r="15" spans="2:36" ht="15.6" thickTop="1" thickBot="1">
      <c r="B15" s="82" t="s">
        <v>43</v>
      </c>
      <c r="C15" s="83"/>
      <c r="D15" s="84"/>
      <c r="E15" s="84"/>
      <c r="F15" s="84"/>
      <c r="G15" s="84"/>
      <c r="H15" s="84"/>
      <c r="I15" s="85"/>
      <c r="K15" s="82" t="s">
        <v>43</v>
      </c>
      <c r="L15" s="83"/>
      <c r="M15" s="84"/>
      <c r="N15" s="84"/>
      <c r="O15" s="84"/>
      <c r="P15" s="84"/>
      <c r="Q15" s="84"/>
      <c r="R15" s="85"/>
      <c r="T15" s="82" t="s">
        <v>43</v>
      </c>
      <c r="U15" s="83"/>
      <c r="V15" s="84"/>
      <c r="W15" s="84"/>
      <c r="X15" s="84"/>
      <c r="Y15" s="84"/>
      <c r="Z15" s="84"/>
      <c r="AA15" s="85"/>
      <c r="AC15" s="82" t="s">
        <v>43</v>
      </c>
      <c r="AD15" s="83"/>
      <c r="AE15" s="84"/>
      <c r="AF15" s="84"/>
      <c r="AG15" s="84"/>
      <c r="AH15" s="84"/>
      <c r="AI15" s="84"/>
      <c r="AJ15" s="85"/>
    </row>
    <row r="16" spans="2:36" ht="15.6" thickTop="1" thickBot="1">
      <c r="B16" s="79" t="s">
        <v>45</v>
      </c>
      <c r="C16" s="80">
        <v>1</v>
      </c>
      <c r="D16" s="80">
        <v>1</v>
      </c>
      <c r="E16" s="80">
        <v>1</v>
      </c>
      <c r="F16" s="80">
        <v>1</v>
      </c>
      <c r="G16" s="80">
        <v>1</v>
      </c>
      <c r="H16" s="80">
        <v>1</v>
      </c>
      <c r="I16" s="81">
        <v>3</v>
      </c>
      <c r="K16" s="79" t="s">
        <v>45</v>
      </c>
      <c r="L16" s="80"/>
      <c r="M16" s="80"/>
      <c r="N16" s="80"/>
      <c r="O16" s="80">
        <v>1</v>
      </c>
      <c r="P16" s="80">
        <v>1</v>
      </c>
      <c r="Q16" s="80">
        <v>1</v>
      </c>
      <c r="R16" s="81">
        <v>3</v>
      </c>
      <c r="T16" s="79" t="s">
        <v>45</v>
      </c>
      <c r="U16" s="80"/>
      <c r="V16" s="80"/>
      <c r="W16" s="80"/>
      <c r="X16" s="80"/>
      <c r="Y16" s="80"/>
      <c r="Z16" s="80"/>
      <c r="AA16" s="81">
        <v>3</v>
      </c>
      <c r="AC16" s="79" t="s">
        <v>45</v>
      </c>
      <c r="AD16" s="80"/>
      <c r="AE16" s="80"/>
      <c r="AF16" s="80"/>
      <c r="AG16" s="80"/>
      <c r="AH16" s="80"/>
      <c r="AI16" s="80"/>
      <c r="AJ16" s="81">
        <v>3</v>
      </c>
    </row>
    <row r="17" spans="2:37" ht="15.6" thickTop="1" thickBot="1">
      <c r="B17" s="79" t="s">
        <v>46</v>
      </c>
      <c r="C17" s="80"/>
      <c r="D17" s="80"/>
      <c r="E17" s="80"/>
      <c r="F17" s="80"/>
      <c r="G17" s="80"/>
      <c r="H17" s="80"/>
      <c r="I17" s="81"/>
      <c r="K17" s="79" t="s">
        <v>46</v>
      </c>
      <c r="L17" s="80"/>
      <c r="M17" s="80"/>
      <c r="N17" s="80"/>
      <c r="O17" s="80"/>
      <c r="P17" s="80"/>
      <c r="Q17" s="80"/>
      <c r="R17" s="81"/>
      <c r="T17" s="79" t="s">
        <v>46</v>
      </c>
      <c r="U17" s="80"/>
      <c r="V17" s="80"/>
      <c r="W17" s="80"/>
      <c r="X17" s="80"/>
      <c r="Y17" s="80"/>
      <c r="Z17" s="80"/>
      <c r="AA17" s="81"/>
      <c r="AC17" s="79" t="s">
        <v>46</v>
      </c>
      <c r="AD17" s="80"/>
      <c r="AE17" s="80"/>
      <c r="AF17" s="80"/>
      <c r="AG17" s="80"/>
      <c r="AH17" s="80"/>
      <c r="AI17" s="80"/>
      <c r="AJ17" s="81"/>
    </row>
    <row r="18" spans="2:37" s="1" customFormat="1" ht="15.6" thickTop="1" thickBot="1"/>
    <row r="19" spans="2:37" ht="15.6" thickTop="1" thickBot="1">
      <c r="B19" s="71"/>
      <c r="C19" s="72" t="s">
        <v>36</v>
      </c>
      <c r="D19" s="72" t="s">
        <v>37</v>
      </c>
      <c r="E19" s="72" t="s">
        <v>38</v>
      </c>
      <c r="F19" s="72" t="s">
        <v>39</v>
      </c>
      <c r="G19" s="72" t="s">
        <v>40</v>
      </c>
      <c r="H19" s="72" t="s">
        <v>41</v>
      </c>
      <c r="I19" s="86" t="s">
        <v>42</v>
      </c>
      <c r="J19" s="57"/>
      <c r="K19" s="71"/>
      <c r="L19" s="72" t="s">
        <v>36</v>
      </c>
      <c r="M19" s="72" t="s">
        <v>37</v>
      </c>
      <c r="N19" s="72" t="s">
        <v>38</v>
      </c>
      <c r="O19" s="72" t="s">
        <v>39</v>
      </c>
      <c r="P19" s="72" t="s">
        <v>40</v>
      </c>
      <c r="Q19" s="72" t="s">
        <v>41</v>
      </c>
      <c r="R19" s="73" t="s">
        <v>42</v>
      </c>
      <c r="T19" s="71"/>
      <c r="U19" s="72" t="s">
        <v>36</v>
      </c>
      <c r="V19" s="72" t="s">
        <v>37</v>
      </c>
      <c r="W19" s="72" t="s">
        <v>38</v>
      </c>
      <c r="X19" s="72" t="s">
        <v>39</v>
      </c>
      <c r="Y19" s="72" t="s">
        <v>40</v>
      </c>
      <c r="Z19" s="72" t="s">
        <v>41</v>
      </c>
      <c r="AA19" s="86" t="s">
        <v>42</v>
      </c>
      <c r="AC19" s="71"/>
      <c r="AD19" s="72" t="s">
        <v>36</v>
      </c>
      <c r="AE19" s="72" t="s">
        <v>37</v>
      </c>
      <c r="AF19" s="72" t="s">
        <v>38</v>
      </c>
      <c r="AG19" s="72" t="s">
        <v>39</v>
      </c>
      <c r="AH19" s="72" t="s">
        <v>40</v>
      </c>
      <c r="AI19" s="72" t="s">
        <v>41</v>
      </c>
      <c r="AJ19" s="86" t="s">
        <v>42</v>
      </c>
    </row>
    <row r="20" spans="2:37" ht="15.6" thickTop="1" thickBot="1">
      <c r="B20" s="74"/>
      <c r="C20" s="60">
        <v>46025</v>
      </c>
      <c r="D20" s="60">
        <v>46026</v>
      </c>
      <c r="E20" s="60">
        <v>46027</v>
      </c>
      <c r="F20" s="60">
        <v>46028</v>
      </c>
      <c r="G20" s="60">
        <v>46029</v>
      </c>
      <c r="H20" s="60">
        <v>46030</v>
      </c>
      <c r="I20" s="75">
        <v>46031</v>
      </c>
      <c r="K20" s="74"/>
      <c r="L20" s="60">
        <v>46053</v>
      </c>
      <c r="M20" s="60">
        <v>46054</v>
      </c>
      <c r="N20" s="60">
        <v>46055</v>
      </c>
      <c r="O20" s="60">
        <v>46056</v>
      </c>
      <c r="P20" s="60">
        <v>46057</v>
      </c>
      <c r="Q20" s="60">
        <v>46058</v>
      </c>
      <c r="R20" s="85">
        <v>46059</v>
      </c>
      <c r="S20" s="60"/>
      <c r="T20" s="74"/>
      <c r="U20" s="60">
        <v>46081</v>
      </c>
      <c r="V20" s="60">
        <v>46082</v>
      </c>
      <c r="W20" s="60">
        <v>46083</v>
      </c>
      <c r="X20" s="60">
        <v>46084</v>
      </c>
      <c r="Y20" s="60">
        <v>46085</v>
      </c>
      <c r="Z20" s="60">
        <v>46086</v>
      </c>
      <c r="AA20" s="75">
        <v>46087</v>
      </c>
      <c r="AB20" s="60"/>
      <c r="AC20" s="74"/>
      <c r="AD20" s="60">
        <v>46109</v>
      </c>
      <c r="AE20" s="60">
        <v>46110</v>
      </c>
      <c r="AF20" s="60">
        <v>46111</v>
      </c>
      <c r="AG20" s="60">
        <v>46112</v>
      </c>
      <c r="AH20" s="60">
        <v>46113</v>
      </c>
      <c r="AI20" s="60">
        <v>46114</v>
      </c>
      <c r="AJ20" s="75">
        <v>46115</v>
      </c>
      <c r="AK20" s="60"/>
    </row>
    <row r="21" spans="2:37" ht="15.6" thickTop="1" thickBot="1">
      <c r="B21" s="77" t="s">
        <v>44</v>
      </c>
      <c r="C21" s="78"/>
      <c r="D21" s="72"/>
      <c r="E21" s="72"/>
      <c r="F21" s="72"/>
      <c r="G21" s="72"/>
      <c r="H21" s="72"/>
      <c r="I21" s="73"/>
      <c r="K21" s="77" t="s">
        <v>44</v>
      </c>
      <c r="L21" s="78"/>
      <c r="M21" s="72"/>
      <c r="N21" s="72"/>
      <c r="O21" s="72"/>
      <c r="P21" s="72"/>
      <c r="Q21" s="72"/>
      <c r="R21" s="76"/>
      <c r="T21" s="77" t="s">
        <v>44</v>
      </c>
      <c r="U21" s="78"/>
      <c r="V21" s="72"/>
      <c r="W21" s="72"/>
      <c r="X21" s="72"/>
      <c r="Y21" s="72"/>
      <c r="Z21" s="72"/>
      <c r="AA21" s="73"/>
      <c r="AC21" s="77" t="s">
        <v>44</v>
      </c>
      <c r="AD21" s="78"/>
      <c r="AE21" s="72"/>
      <c r="AF21" s="72"/>
      <c r="AG21" s="72"/>
      <c r="AH21" s="72"/>
      <c r="AI21" s="72"/>
      <c r="AJ21" s="73"/>
    </row>
    <row r="22" spans="2:37" ht="15.6" thickTop="1" thickBot="1">
      <c r="B22" s="82" t="s">
        <v>43</v>
      </c>
      <c r="C22" s="83"/>
      <c r="D22" s="84"/>
      <c r="E22" s="84"/>
      <c r="F22" s="84"/>
      <c r="G22" s="84"/>
      <c r="H22" s="84"/>
      <c r="I22" s="85"/>
      <c r="K22" s="82" t="s">
        <v>43</v>
      </c>
      <c r="L22" s="83"/>
      <c r="M22" s="84"/>
      <c r="N22" s="84"/>
      <c r="O22" s="84"/>
      <c r="P22" s="84"/>
      <c r="Q22" s="84"/>
      <c r="R22" s="81"/>
      <c r="T22" s="82" t="s">
        <v>43</v>
      </c>
      <c r="U22" s="83"/>
      <c r="V22" s="84"/>
      <c r="W22" s="84"/>
      <c r="X22" s="84"/>
      <c r="Y22" s="84"/>
      <c r="Z22" s="84"/>
      <c r="AA22" s="85"/>
      <c r="AC22" s="82" t="s">
        <v>43</v>
      </c>
      <c r="AD22" s="83"/>
      <c r="AE22" s="84"/>
      <c r="AF22" s="84"/>
      <c r="AG22" s="84"/>
      <c r="AH22" s="84"/>
      <c r="AI22" s="84"/>
      <c r="AJ22" s="85"/>
    </row>
    <row r="23" spans="2:37" ht="15.6" thickTop="1" thickBot="1">
      <c r="B23" s="79" t="s">
        <v>45</v>
      </c>
      <c r="C23" s="80">
        <v>1</v>
      </c>
      <c r="D23" s="80">
        <v>1</v>
      </c>
      <c r="E23" s="80">
        <v>1</v>
      </c>
      <c r="F23" s="80">
        <v>1</v>
      </c>
      <c r="G23" s="80">
        <v>1</v>
      </c>
      <c r="H23" s="80">
        <v>1</v>
      </c>
      <c r="I23" s="81">
        <v>3</v>
      </c>
      <c r="K23" s="79" t="s">
        <v>45</v>
      </c>
      <c r="L23" s="80">
        <v>1</v>
      </c>
      <c r="M23" s="80">
        <v>1</v>
      </c>
      <c r="N23" s="80">
        <v>1</v>
      </c>
      <c r="O23" s="80">
        <v>1</v>
      </c>
      <c r="P23" s="80">
        <v>1</v>
      </c>
      <c r="Q23" s="80">
        <v>1</v>
      </c>
      <c r="R23" s="81">
        <v>3</v>
      </c>
      <c r="T23" s="79" t="s">
        <v>45</v>
      </c>
      <c r="U23" s="80">
        <v>1</v>
      </c>
      <c r="V23" s="80">
        <v>1</v>
      </c>
      <c r="W23" s="80">
        <v>1</v>
      </c>
      <c r="X23" s="80">
        <v>1</v>
      </c>
      <c r="Y23" s="80">
        <v>1</v>
      </c>
      <c r="Z23" s="80">
        <v>1</v>
      </c>
      <c r="AA23" s="81">
        <v>3</v>
      </c>
      <c r="AC23" s="79" t="s">
        <v>45</v>
      </c>
      <c r="AD23" s="80">
        <v>1</v>
      </c>
      <c r="AE23" s="80">
        <v>1</v>
      </c>
      <c r="AF23" s="80">
        <v>1</v>
      </c>
      <c r="AG23" s="80">
        <v>1</v>
      </c>
      <c r="AH23" s="80">
        <v>1</v>
      </c>
      <c r="AI23" s="80">
        <v>1</v>
      </c>
      <c r="AJ23" s="81">
        <v>3</v>
      </c>
    </row>
    <row r="24" spans="2:37" ht="15.6" thickTop="1" thickBot="1">
      <c r="B24" s="79" t="s">
        <v>46</v>
      </c>
      <c r="C24" s="80"/>
      <c r="D24" s="80"/>
      <c r="E24" s="80"/>
      <c r="F24" s="80"/>
      <c r="G24" s="80"/>
      <c r="H24" s="80"/>
      <c r="I24" s="81"/>
      <c r="K24" s="79" t="s">
        <v>46</v>
      </c>
      <c r="L24" s="80"/>
      <c r="M24" s="80"/>
      <c r="N24" s="80"/>
      <c r="O24" s="80"/>
      <c r="P24" s="80"/>
      <c r="Q24" s="80"/>
      <c r="R24" s="81"/>
      <c r="T24" s="79" t="s">
        <v>46</v>
      </c>
      <c r="U24" s="80"/>
      <c r="V24" s="80"/>
      <c r="W24" s="80"/>
      <c r="X24" s="80"/>
      <c r="Y24" s="80"/>
      <c r="Z24" s="80"/>
      <c r="AA24" s="81"/>
      <c r="AC24" s="79" t="s">
        <v>46</v>
      </c>
      <c r="AD24" s="80"/>
      <c r="AE24" s="80"/>
      <c r="AF24" s="80"/>
      <c r="AG24" s="80"/>
      <c r="AH24" s="80"/>
      <c r="AI24" s="80"/>
      <c r="AJ24" s="81"/>
    </row>
    <row r="25" spans="2:37" s="1" customFormat="1" ht="15.6" thickTop="1" thickBot="1"/>
    <row r="26" spans="2:37" ht="15" thickTop="1">
      <c r="B26" s="71"/>
      <c r="C26" s="72" t="s">
        <v>36</v>
      </c>
      <c r="D26" s="72" t="s">
        <v>37</v>
      </c>
      <c r="E26" s="72" t="s">
        <v>38</v>
      </c>
      <c r="F26" s="72" t="s">
        <v>39</v>
      </c>
      <c r="G26" s="72" t="s">
        <v>40</v>
      </c>
      <c r="H26" s="72" t="s">
        <v>41</v>
      </c>
      <c r="I26" s="86" t="s">
        <v>42</v>
      </c>
      <c r="J26" s="57"/>
      <c r="K26" s="71"/>
      <c r="L26" s="72" t="s">
        <v>36</v>
      </c>
      <c r="M26" s="72" t="s">
        <v>37</v>
      </c>
      <c r="N26" s="72" t="s">
        <v>38</v>
      </c>
      <c r="O26" s="72" t="s">
        <v>39</v>
      </c>
      <c r="P26" s="72" t="s">
        <v>40</v>
      </c>
      <c r="Q26" s="72" t="s">
        <v>41</v>
      </c>
      <c r="R26" s="86" t="s">
        <v>42</v>
      </c>
      <c r="T26" s="71"/>
      <c r="U26" s="72" t="s">
        <v>36</v>
      </c>
      <c r="V26" s="72" t="s">
        <v>37</v>
      </c>
      <c r="W26" s="72" t="s">
        <v>38</v>
      </c>
      <c r="X26" s="72" t="s">
        <v>39</v>
      </c>
      <c r="Y26" s="72" t="s">
        <v>40</v>
      </c>
      <c r="Z26" s="72" t="s">
        <v>41</v>
      </c>
      <c r="AA26" s="86" t="s">
        <v>42</v>
      </c>
      <c r="AC26" s="71"/>
      <c r="AD26" s="72" t="s">
        <v>36</v>
      </c>
      <c r="AE26" s="72" t="s">
        <v>37</v>
      </c>
      <c r="AF26" s="72" t="s">
        <v>38</v>
      </c>
      <c r="AG26" s="72" t="s">
        <v>39</v>
      </c>
      <c r="AH26" s="72" t="s">
        <v>40</v>
      </c>
      <c r="AI26" s="72" t="s">
        <v>41</v>
      </c>
      <c r="AJ26" s="86" t="s">
        <v>42</v>
      </c>
    </row>
    <row r="27" spans="2:37" ht="15" thickBot="1">
      <c r="B27" s="74"/>
      <c r="C27" s="60">
        <v>46032</v>
      </c>
      <c r="D27" s="60">
        <v>46033</v>
      </c>
      <c r="E27" s="60">
        <v>46034</v>
      </c>
      <c r="F27" s="60">
        <v>46035</v>
      </c>
      <c r="G27" s="60">
        <v>46036</v>
      </c>
      <c r="H27" s="60">
        <v>46037</v>
      </c>
      <c r="I27" s="75">
        <v>46038</v>
      </c>
      <c r="K27" s="74"/>
      <c r="L27" s="60">
        <v>46060</v>
      </c>
      <c r="M27" s="60">
        <v>46061</v>
      </c>
      <c r="N27" s="60">
        <v>46062</v>
      </c>
      <c r="O27" s="60">
        <v>46063</v>
      </c>
      <c r="P27" s="60">
        <v>46064</v>
      </c>
      <c r="Q27" s="60">
        <v>46065</v>
      </c>
      <c r="R27" s="75">
        <v>46066</v>
      </c>
      <c r="S27" s="60"/>
      <c r="T27" s="74"/>
      <c r="U27" s="60">
        <v>46088</v>
      </c>
      <c r="V27" s="60">
        <v>46089</v>
      </c>
      <c r="W27" s="60">
        <v>46090</v>
      </c>
      <c r="X27" s="60">
        <v>46091</v>
      </c>
      <c r="Y27" s="60">
        <v>46092</v>
      </c>
      <c r="Z27" s="60">
        <v>46093</v>
      </c>
      <c r="AA27" s="75">
        <v>46094</v>
      </c>
      <c r="AB27" s="60"/>
      <c r="AC27" s="74"/>
      <c r="AD27" s="60">
        <v>46116</v>
      </c>
      <c r="AE27" s="60">
        <v>46117</v>
      </c>
      <c r="AF27" s="60">
        <v>46118</v>
      </c>
      <c r="AG27" s="60">
        <v>46119</v>
      </c>
      <c r="AH27" s="60">
        <v>46120</v>
      </c>
      <c r="AI27" s="60">
        <v>46121</v>
      </c>
      <c r="AJ27" s="75">
        <v>46122</v>
      </c>
      <c r="AK27" s="60"/>
    </row>
    <row r="28" spans="2:37" ht="15.6" thickTop="1" thickBot="1">
      <c r="B28" s="77" t="s">
        <v>44</v>
      </c>
      <c r="C28" s="78"/>
      <c r="D28" s="72"/>
      <c r="E28" s="72"/>
      <c r="F28" s="72"/>
      <c r="G28" s="72"/>
      <c r="H28" s="72"/>
      <c r="I28" s="73"/>
      <c r="K28" s="77" t="s">
        <v>44</v>
      </c>
      <c r="L28" s="78"/>
      <c r="M28" s="72"/>
      <c r="N28" s="72"/>
      <c r="O28" s="72"/>
      <c r="P28" s="72"/>
      <c r="Q28" s="72"/>
      <c r="R28" s="73"/>
      <c r="T28" s="77" t="s">
        <v>44</v>
      </c>
      <c r="U28" s="78"/>
      <c r="V28" s="72"/>
      <c r="W28" s="72"/>
      <c r="X28" s="72"/>
      <c r="Y28" s="72"/>
      <c r="Z28" s="72"/>
      <c r="AA28" s="73"/>
      <c r="AC28" s="77" t="s">
        <v>44</v>
      </c>
      <c r="AD28" s="78"/>
      <c r="AE28" s="72"/>
      <c r="AF28" s="72"/>
      <c r="AG28" s="72"/>
      <c r="AH28" s="72"/>
      <c r="AI28" s="72"/>
      <c r="AJ28" s="73"/>
    </row>
    <row r="29" spans="2:37" ht="15.6" thickTop="1" thickBot="1">
      <c r="B29" s="82" t="s">
        <v>43</v>
      </c>
      <c r="C29" s="83"/>
      <c r="D29" s="84"/>
      <c r="E29" s="84"/>
      <c r="F29" s="84"/>
      <c r="G29" s="84"/>
      <c r="H29" s="84"/>
      <c r="I29" s="85"/>
      <c r="K29" s="82" t="s">
        <v>43</v>
      </c>
      <c r="L29" s="83"/>
      <c r="M29" s="84"/>
      <c r="N29" s="84"/>
      <c r="O29" s="84"/>
      <c r="P29" s="84"/>
      <c r="Q29" s="84"/>
      <c r="R29" s="85"/>
      <c r="T29" s="82" t="s">
        <v>43</v>
      </c>
      <c r="U29" s="83"/>
      <c r="V29" s="84"/>
      <c r="W29" s="84"/>
      <c r="X29" s="84"/>
      <c r="Y29" s="84"/>
      <c r="Z29" s="84"/>
      <c r="AA29" s="85"/>
      <c r="AC29" s="82" t="s">
        <v>43</v>
      </c>
      <c r="AD29" s="83"/>
      <c r="AE29" s="84"/>
      <c r="AF29" s="84"/>
      <c r="AG29" s="84"/>
      <c r="AH29" s="84"/>
      <c r="AI29" s="84"/>
      <c r="AJ29" s="85"/>
    </row>
    <row r="30" spans="2:37" ht="15.6" thickTop="1" thickBot="1">
      <c r="B30" s="79" t="s">
        <v>45</v>
      </c>
      <c r="C30" s="80">
        <v>1</v>
      </c>
      <c r="D30" s="80">
        <v>1</v>
      </c>
      <c r="E30" s="80">
        <v>1</v>
      </c>
      <c r="F30" s="80">
        <v>1</v>
      </c>
      <c r="G30" s="80">
        <v>1</v>
      </c>
      <c r="H30" s="80">
        <v>1</v>
      </c>
      <c r="I30" s="81">
        <v>3</v>
      </c>
      <c r="K30" s="79" t="s">
        <v>45</v>
      </c>
      <c r="L30" s="80">
        <v>1</v>
      </c>
      <c r="M30" s="80">
        <v>1</v>
      </c>
      <c r="N30" s="80">
        <v>1</v>
      </c>
      <c r="O30" s="80">
        <v>1</v>
      </c>
      <c r="P30" s="80">
        <v>1</v>
      </c>
      <c r="Q30" s="80">
        <v>1</v>
      </c>
      <c r="R30" s="81">
        <v>3</v>
      </c>
      <c r="T30" s="79" t="s">
        <v>45</v>
      </c>
      <c r="U30" s="80">
        <v>1</v>
      </c>
      <c r="V30" s="80">
        <v>1</v>
      </c>
      <c r="W30" s="80">
        <v>1</v>
      </c>
      <c r="X30" s="80">
        <v>1</v>
      </c>
      <c r="Y30" s="80">
        <v>1</v>
      </c>
      <c r="Z30" s="80">
        <v>1</v>
      </c>
      <c r="AA30" s="81">
        <v>3</v>
      </c>
      <c r="AC30" s="79" t="s">
        <v>45</v>
      </c>
      <c r="AD30" s="80">
        <v>1</v>
      </c>
      <c r="AE30" s="80">
        <v>1</v>
      </c>
      <c r="AF30" s="80">
        <v>1</v>
      </c>
      <c r="AG30" s="80">
        <v>1</v>
      </c>
      <c r="AH30" s="80">
        <v>1</v>
      </c>
      <c r="AI30" s="80">
        <v>1</v>
      </c>
      <c r="AJ30" s="81">
        <v>3</v>
      </c>
    </row>
    <row r="31" spans="2:37" ht="15.6" thickTop="1" thickBot="1">
      <c r="B31" s="79" t="s">
        <v>46</v>
      </c>
      <c r="C31" s="80"/>
      <c r="D31" s="80"/>
      <c r="E31" s="80"/>
      <c r="F31" s="80"/>
      <c r="G31" s="80"/>
      <c r="H31" s="80"/>
      <c r="I31" s="81"/>
      <c r="K31" s="79" t="s">
        <v>46</v>
      </c>
      <c r="L31" s="80"/>
      <c r="M31" s="80"/>
      <c r="N31" s="80"/>
      <c r="O31" s="80"/>
      <c r="P31" s="80"/>
      <c r="Q31" s="80"/>
      <c r="R31" s="81"/>
      <c r="T31" s="79" t="s">
        <v>46</v>
      </c>
      <c r="U31" s="80"/>
      <c r="V31" s="80"/>
      <c r="W31" s="80"/>
      <c r="X31" s="80"/>
      <c r="Y31" s="80"/>
      <c r="Z31" s="80"/>
      <c r="AA31" s="81"/>
      <c r="AC31" s="79" t="s">
        <v>46</v>
      </c>
      <c r="AD31" s="80"/>
      <c r="AE31" s="80"/>
      <c r="AF31" s="80"/>
      <c r="AG31" s="80"/>
      <c r="AH31" s="80"/>
      <c r="AI31" s="80"/>
      <c r="AJ31" s="81"/>
    </row>
    <row r="32" spans="2:37" ht="15.6" thickTop="1" thickBot="1"/>
    <row r="33" spans="2:37" ht="15" thickTop="1">
      <c r="B33" s="71"/>
      <c r="C33" s="72" t="s">
        <v>36</v>
      </c>
      <c r="D33" s="72" t="s">
        <v>37</v>
      </c>
      <c r="E33" s="72" t="s">
        <v>38</v>
      </c>
      <c r="F33" s="72" t="s">
        <v>39</v>
      </c>
      <c r="G33" s="72" t="s">
        <v>40</v>
      </c>
      <c r="H33" s="72" t="s">
        <v>41</v>
      </c>
      <c r="I33" s="86" t="s">
        <v>42</v>
      </c>
      <c r="K33" s="71"/>
      <c r="L33" s="72" t="s">
        <v>36</v>
      </c>
      <c r="M33" s="72" t="s">
        <v>37</v>
      </c>
      <c r="N33" s="72" t="s">
        <v>38</v>
      </c>
      <c r="O33" s="72" t="s">
        <v>39</v>
      </c>
      <c r="P33" s="72" t="s">
        <v>40</v>
      </c>
      <c r="Q33" s="72" t="s">
        <v>41</v>
      </c>
      <c r="R33" s="86" t="s">
        <v>42</v>
      </c>
      <c r="T33" s="71"/>
      <c r="U33" s="72" t="s">
        <v>36</v>
      </c>
      <c r="V33" s="72" t="s">
        <v>37</v>
      </c>
      <c r="W33" s="72" t="s">
        <v>38</v>
      </c>
      <c r="X33" s="72" t="s">
        <v>39</v>
      </c>
      <c r="Y33" s="72" t="s">
        <v>40</v>
      </c>
      <c r="Z33" s="72" t="s">
        <v>41</v>
      </c>
      <c r="AA33" s="86" t="s">
        <v>42</v>
      </c>
      <c r="AC33" s="71"/>
      <c r="AD33" s="72" t="s">
        <v>36</v>
      </c>
      <c r="AE33" s="72" t="s">
        <v>37</v>
      </c>
      <c r="AF33" s="72" t="s">
        <v>38</v>
      </c>
      <c r="AG33" s="72" t="s">
        <v>39</v>
      </c>
      <c r="AH33" s="72" t="s">
        <v>40</v>
      </c>
      <c r="AI33" s="72" t="s">
        <v>41</v>
      </c>
      <c r="AJ33" s="86" t="s">
        <v>42</v>
      </c>
    </row>
    <row r="34" spans="2:37" ht="15" thickBot="1">
      <c r="B34" s="74"/>
      <c r="C34" s="60">
        <v>46039</v>
      </c>
      <c r="D34" s="60">
        <v>46040</v>
      </c>
      <c r="E34" s="60">
        <v>46041</v>
      </c>
      <c r="F34" s="60">
        <v>46042</v>
      </c>
      <c r="G34" s="60">
        <v>46043</v>
      </c>
      <c r="H34" s="60">
        <v>46044</v>
      </c>
      <c r="I34" s="75">
        <v>46045</v>
      </c>
      <c r="K34" s="74"/>
      <c r="L34" s="60">
        <v>46067</v>
      </c>
      <c r="M34" s="60">
        <v>46068</v>
      </c>
      <c r="N34" s="60">
        <v>46069</v>
      </c>
      <c r="O34" s="60">
        <v>46070</v>
      </c>
      <c r="P34" s="60">
        <v>46071</v>
      </c>
      <c r="Q34" s="60">
        <v>46072</v>
      </c>
      <c r="R34" s="75">
        <v>46073</v>
      </c>
      <c r="S34" s="60"/>
      <c r="T34" s="74"/>
      <c r="U34" s="60">
        <v>46095</v>
      </c>
      <c r="V34" s="60">
        <v>46096</v>
      </c>
      <c r="W34" s="60">
        <v>46097</v>
      </c>
      <c r="X34" s="60">
        <v>46098</v>
      </c>
      <c r="Y34" s="60">
        <v>46099</v>
      </c>
      <c r="Z34" s="60">
        <v>46100</v>
      </c>
      <c r="AA34" s="75">
        <v>46101</v>
      </c>
      <c r="AB34" s="60"/>
      <c r="AC34" s="74"/>
      <c r="AD34" s="60">
        <v>46123</v>
      </c>
      <c r="AE34" s="60">
        <v>46124</v>
      </c>
      <c r="AF34" s="60">
        <v>46125</v>
      </c>
      <c r="AG34" s="60">
        <v>46126</v>
      </c>
      <c r="AH34" s="60">
        <v>46127</v>
      </c>
      <c r="AI34" s="60">
        <v>46128</v>
      </c>
      <c r="AJ34" s="75">
        <v>46129</v>
      </c>
      <c r="AK34" s="60"/>
    </row>
    <row r="35" spans="2:37" ht="15.6" thickTop="1" thickBot="1">
      <c r="B35" s="77" t="s">
        <v>44</v>
      </c>
      <c r="C35" s="78"/>
      <c r="D35" s="72"/>
      <c r="E35" s="72"/>
      <c r="F35" s="72"/>
      <c r="G35" s="72"/>
      <c r="H35" s="72"/>
      <c r="I35" s="73"/>
      <c r="K35" s="77" t="s">
        <v>44</v>
      </c>
      <c r="L35" s="78"/>
      <c r="M35" s="72"/>
      <c r="N35" s="72"/>
      <c r="O35" s="72"/>
      <c r="P35" s="72"/>
      <c r="Q35" s="72"/>
      <c r="R35" s="73"/>
      <c r="T35" s="77" t="s">
        <v>44</v>
      </c>
      <c r="U35" s="78"/>
      <c r="V35" s="72"/>
      <c r="W35" s="72"/>
      <c r="X35" s="72"/>
      <c r="Y35" s="72"/>
      <c r="Z35" s="72"/>
      <c r="AA35" s="73"/>
      <c r="AC35" s="77" t="s">
        <v>44</v>
      </c>
      <c r="AD35" s="78"/>
      <c r="AE35" s="72"/>
      <c r="AF35" s="72"/>
      <c r="AG35" s="72"/>
      <c r="AH35" s="72"/>
      <c r="AI35" s="72"/>
      <c r="AJ35" s="73"/>
    </row>
    <row r="36" spans="2:37" ht="15.6" thickTop="1" thickBot="1">
      <c r="B36" s="82" t="s">
        <v>43</v>
      </c>
      <c r="C36" s="83"/>
      <c r="D36" s="84"/>
      <c r="E36" s="84"/>
      <c r="F36" s="84"/>
      <c r="G36" s="84"/>
      <c r="H36" s="84"/>
      <c r="I36" s="85"/>
      <c r="K36" s="82" t="s">
        <v>43</v>
      </c>
      <c r="L36" s="83"/>
      <c r="M36" s="84"/>
      <c r="N36" s="84"/>
      <c r="O36" s="84"/>
      <c r="P36" s="84"/>
      <c r="Q36" s="84"/>
      <c r="R36" s="85"/>
      <c r="T36" s="82" t="s">
        <v>43</v>
      </c>
      <c r="U36" s="83"/>
      <c r="V36" s="84"/>
      <c r="W36" s="84"/>
      <c r="X36" s="84"/>
      <c r="Y36" s="84"/>
      <c r="Z36" s="84"/>
      <c r="AA36" s="85"/>
      <c r="AC36" s="82" t="s">
        <v>43</v>
      </c>
      <c r="AD36" s="83"/>
      <c r="AE36" s="84"/>
      <c r="AF36" s="84"/>
      <c r="AG36" s="84"/>
      <c r="AH36" s="84"/>
      <c r="AI36" s="84"/>
      <c r="AJ36" s="85"/>
    </row>
    <row r="37" spans="2:37" ht="15.6" thickTop="1" thickBot="1">
      <c r="B37" s="79" t="s">
        <v>45</v>
      </c>
      <c r="C37" s="80">
        <v>1</v>
      </c>
      <c r="D37" s="80">
        <v>1</v>
      </c>
      <c r="E37" s="80">
        <v>1</v>
      </c>
      <c r="F37" s="80">
        <v>1</v>
      </c>
      <c r="G37" s="80">
        <v>1</v>
      </c>
      <c r="H37" s="80">
        <v>1</v>
      </c>
      <c r="I37" s="81">
        <v>3</v>
      </c>
      <c r="K37" s="79" t="s">
        <v>45</v>
      </c>
      <c r="L37" s="80">
        <v>1</v>
      </c>
      <c r="M37" s="80">
        <v>1</v>
      </c>
      <c r="N37" s="80">
        <v>1</v>
      </c>
      <c r="O37" s="80">
        <v>1</v>
      </c>
      <c r="P37" s="80">
        <v>1</v>
      </c>
      <c r="Q37" s="80">
        <v>1</v>
      </c>
      <c r="R37" s="81">
        <v>3</v>
      </c>
      <c r="T37" s="79" t="s">
        <v>45</v>
      </c>
      <c r="U37" s="80">
        <v>1</v>
      </c>
      <c r="V37" s="80">
        <v>1</v>
      </c>
      <c r="W37" s="80">
        <v>1</v>
      </c>
      <c r="X37" s="80">
        <v>1</v>
      </c>
      <c r="Y37" s="80">
        <v>1</v>
      </c>
      <c r="Z37" s="80">
        <v>1</v>
      </c>
      <c r="AA37" s="81">
        <v>3</v>
      </c>
      <c r="AC37" s="79" t="s">
        <v>45</v>
      </c>
      <c r="AD37" s="80">
        <v>1</v>
      </c>
      <c r="AE37" s="80">
        <v>1</v>
      </c>
      <c r="AF37" s="80">
        <v>1</v>
      </c>
      <c r="AG37" s="80">
        <v>1</v>
      </c>
      <c r="AH37" s="80">
        <v>1</v>
      </c>
      <c r="AI37" s="80">
        <v>1</v>
      </c>
      <c r="AJ37" s="81">
        <v>3</v>
      </c>
    </row>
    <row r="38" spans="2:37" ht="15.6" thickTop="1" thickBot="1">
      <c r="B38" s="79" t="s">
        <v>46</v>
      </c>
      <c r="C38" s="80"/>
      <c r="D38" s="80"/>
      <c r="E38" s="80"/>
      <c r="F38" s="80"/>
      <c r="G38" s="80"/>
      <c r="H38" s="80"/>
      <c r="I38" s="81"/>
      <c r="K38" s="79" t="s">
        <v>46</v>
      </c>
      <c r="L38" s="80"/>
      <c r="M38" s="80"/>
      <c r="N38" s="80"/>
      <c r="O38" s="80"/>
      <c r="P38" s="80"/>
      <c r="Q38" s="80"/>
      <c r="R38" s="81"/>
      <c r="T38" s="79" t="s">
        <v>46</v>
      </c>
      <c r="U38" s="80"/>
      <c r="V38" s="80"/>
      <c r="W38" s="80"/>
      <c r="X38" s="80"/>
      <c r="Y38" s="80"/>
      <c r="Z38" s="80"/>
      <c r="AA38" s="81"/>
      <c r="AC38" s="79" t="s">
        <v>46</v>
      </c>
      <c r="AD38" s="80"/>
      <c r="AE38" s="80"/>
      <c r="AF38" s="80"/>
      <c r="AG38" s="80"/>
      <c r="AH38" s="80"/>
      <c r="AI38" s="80"/>
      <c r="AJ38" s="81"/>
    </row>
    <row r="39" spans="2:37" ht="15.6" thickTop="1" thickBot="1"/>
    <row r="40" spans="2:37" ht="15" thickTop="1">
      <c r="B40" s="71"/>
      <c r="C40" s="72" t="s">
        <v>36</v>
      </c>
      <c r="D40" s="72" t="s">
        <v>37</v>
      </c>
      <c r="E40" s="72" t="s">
        <v>38</v>
      </c>
      <c r="F40" s="72" t="s">
        <v>39</v>
      </c>
      <c r="G40" s="72" t="s">
        <v>40</v>
      </c>
      <c r="H40" s="72" t="s">
        <v>41</v>
      </c>
      <c r="I40" s="86" t="s">
        <v>42</v>
      </c>
      <c r="J40" s="60"/>
      <c r="K40" s="71"/>
      <c r="L40" s="72" t="s">
        <v>36</v>
      </c>
      <c r="M40" s="72" t="s">
        <v>37</v>
      </c>
      <c r="N40" s="72" t="s">
        <v>38</v>
      </c>
      <c r="O40" s="72" t="s">
        <v>39</v>
      </c>
      <c r="P40" s="72" t="s">
        <v>40</v>
      </c>
      <c r="Q40" s="72" t="s">
        <v>41</v>
      </c>
      <c r="R40" s="86" t="s">
        <v>42</v>
      </c>
      <c r="T40" s="71"/>
      <c r="U40" s="72" t="s">
        <v>36</v>
      </c>
      <c r="V40" s="72" t="s">
        <v>37</v>
      </c>
      <c r="W40" s="72" t="s">
        <v>38</v>
      </c>
      <c r="X40" s="72" t="s">
        <v>39</v>
      </c>
      <c r="Y40" s="72" t="s">
        <v>40</v>
      </c>
      <c r="Z40" s="72" t="s">
        <v>41</v>
      </c>
      <c r="AA40" s="86" t="s">
        <v>42</v>
      </c>
      <c r="AC40" s="71"/>
      <c r="AD40" s="72" t="s">
        <v>36</v>
      </c>
      <c r="AE40" s="72" t="s">
        <v>37</v>
      </c>
      <c r="AF40" s="72" t="s">
        <v>38</v>
      </c>
      <c r="AG40" s="72" t="s">
        <v>39</v>
      </c>
      <c r="AH40" s="72" t="s">
        <v>40</v>
      </c>
      <c r="AI40" s="72" t="s">
        <v>41</v>
      </c>
      <c r="AJ40" s="86" t="s">
        <v>42</v>
      </c>
    </row>
    <row r="41" spans="2:37" ht="15" thickBot="1">
      <c r="B41" s="74"/>
      <c r="C41" s="60">
        <v>46046</v>
      </c>
      <c r="D41" s="60">
        <v>46047</v>
      </c>
      <c r="E41" s="60">
        <v>46048</v>
      </c>
      <c r="F41" s="60"/>
      <c r="G41" s="60"/>
      <c r="H41" s="60"/>
      <c r="I41" s="75"/>
      <c r="K41" s="74"/>
      <c r="L41" s="60">
        <v>46074</v>
      </c>
      <c r="M41" s="60">
        <v>46075</v>
      </c>
      <c r="N41" s="60">
        <v>46076</v>
      </c>
      <c r="O41" s="60">
        <v>46077</v>
      </c>
      <c r="P41" s="60">
        <v>46078</v>
      </c>
      <c r="Q41" s="60">
        <v>46079</v>
      </c>
      <c r="R41" s="75"/>
      <c r="T41" s="74"/>
      <c r="U41" s="60">
        <v>46102</v>
      </c>
      <c r="V41" s="60">
        <v>46103</v>
      </c>
      <c r="W41" s="60">
        <v>46104</v>
      </c>
      <c r="X41" s="60">
        <v>46105</v>
      </c>
      <c r="Y41" s="60">
        <v>46106</v>
      </c>
      <c r="Z41" s="60">
        <v>46107</v>
      </c>
      <c r="AA41" s="75"/>
      <c r="AC41" s="74"/>
      <c r="AD41" s="60">
        <v>46130</v>
      </c>
      <c r="AE41" s="60">
        <v>46131</v>
      </c>
      <c r="AF41" s="60">
        <v>46132</v>
      </c>
      <c r="AG41" s="60">
        <v>46133</v>
      </c>
      <c r="AH41" s="60">
        <v>46134</v>
      </c>
      <c r="AI41" s="60">
        <v>46135</v>
      </c>
      <c r="AJ41" s="75">
        <v>46136</v>
      </c>
      <c r="AK41" s="60"/>
    </row>
    <row r="42" spans="2:37" ht="15.6" thickTop="1" thickBot="1">
      <c r="B42" s="77" t="s">
        <v>44</v>
      </c>
      <c r="C42" s="78"/>
      <c r="D42" s="72"/>
      <c r="E42" s="72"/>
      <c r="F42" s="72"/>
      <c r="G42" s="72"/>
      <c r="H42" s="72"/>
      <c r="I42" s="73"/>
      <c r="K42" s="77" t="s">
        <v>44</v>
      </c>
      <c r="L42" s="78"/>
      <c r="M42" s="72"/>
      <c r="N42" s="72"/>
      <c r="O42" s="72"/>
      <c r="P42" s="72"/>
      <c r="Q42" s="72"/>
      <c r="R42" s="73"/>
      <c r="T42" s="77" t="s">
        <v>44</v>
      </c>
      <c r="U42" s="78"/>
      <c r="V42" s="72"/>
      <c r="W42" s="72"/>
      <c r="X42" s="72"/>
      <c r="Y42" s="72"/>
      <c r="Z42" s="72"/>
      <c r="AA42" s="73"/>
      <c r="AC42" s="77" t="s">
        <v>44</v>
      </c>
      <c r="AD42" s="78"/>
      <c r="AE42" s="72"/>
      <c r="AF42" s="72"/>
      <c r="AG42" s="72"/>
      <c r="AH42" s="72"/>
      <c r="AI42" s="72"/>
      <c r="AJ42" s="73"/>
    </row>
    <row r="43" spans="2:37" ht="15.6" thickTop="1" thickBot="1">
      <c r="B43" s="82" t="s">
        <v>43</v>
      </c>
      <c r="C43" s="83"/>
      <c r="D43" s="84"/>
      <c r="E43" s="84"/>
      <c r="F43" s="84"/>
      <c r="G43" s="84"/>
      <c r="H43" s="84"/>
      <c r="I43" s="85"/>
      <c r="K43" s="82" t="s">
        <v>43</v>
      </c>
      <c r="L43" s="83"/>
      <c r="M43" s="84"/>
      <c r="N43" s="84"/>
      <c r="O43" s="84"/>
      <c r="P43" s="84"/>
      <c r="Q43" s="84"/>
      <c r="R43" s="85"/>
      <c r="T43" s="82" t="s">
        <v>43</v>
      </c>
      <c r="U43" s="83"/>
      <c r="V43" s="84"/>
      <c r="W43" s="84"/>
      <c r="X43" s="84"/>
      <c r="Y43" s="84"/>
      <c r="Z43" s="84"/>
      <c r="AA43" s="85"/>
      <c r="AC43" s="82" t="s">
        <v>43</v>
      </c>
      <c r="AD43" s="83"/>
      <c r="AE43" s="84"/>
      <c r="AF43" s="84"/>
      <c r="AG43" s="84"/>
      <c r="AH43" s="84"/>
      <c r="AI43" s="84"/>
      <c r="AJ43" s="85"/>
    </row>
    <row r="44" spans="2:37" ht="15.6" thickTop="1" thickBot="1">
      <c r="B44" s="79" t="s">
        <v>45</v>
      </c>
      <c r="C44" s="80">
        <v>1</v>
      </c>
      <c r="D44" s="80">
        <v>1</v>
      </c>
      <c r="E44" s="80">
        <v>1</v>
      </c>
      <c r="F44" s="80"/>
      <c r="G44" s="80"/>
      <c r="H44" s="80"/>
      <c r="I44" s="81"/>
      <c r="K44" s="79" t="s">
        <v>45</v>
      </c>
      <c r="L44" s="80">
        <v>1</v>
      </c>
      <c r="M44" s="80">
        <v>1</v>
      </c>
      <c r="N44" s="80">
        <v>1</v>
      </c>
      <c r="O44" s="80">
        <v>1</v>
      </c>
      <c r="P44" s="80">
        <v>1</v>
      </c>
      <c r="Q44" s="80">
        <v>1</v>
      </c>
      <c r="R44" s="81"/>
      <c r="T44" s="79" t="s">
        <v>45</v>
      </c>
      <c r="U44" s="80">
        <v>1</v>
      </c>
      <c r="V44" s="80">
        <v>1</v>
      </c>
      <c r="W44" s="80">
        <v>1</v>
      </c>
      <c r="X44" s="80">
        <v>1</v>
      </c>
      <c r="Y44" s="80">
        <v>1</v>
      </c>
      <c r="Z44" s="80">
        <v>1</v>
      </c>
      <c r="AA44" s="81"/>
      <c r="AC44" s="79" t="s">
        <v>45</v>
      </c>
      <c r="AD44" s="80">
        <v>1</v>
      </c>
      <c r="AE44" s="80">
        <v>1</v>
      </c>
      <c r="AF44" s="80">
        <v>1</v>
      </c>
      <c r="AG44" s="80">
        <v>1</v>
      </c>
      <c r="AH44" s="80">
        <v>1</v>
      </c>
      <c r="AI44" s="80">
        <v>1</v>
      </c>
      <c r="AJ44" s="81">
        <v>3</v>
      </c>
    </row>
    <row r="45" spans="2:37" ht="15.6" thickTop="1" thickBot="1">
      <c r="B45" s="79" t="s">
        <v>46</v>
      </c>
      <c r="C45" s="80"/>
      <c r="D45" s="80"/>
      <c r="E45" s="80"/>
      <c r="F45" s="80"/>
      <c r="G45" s="80"/>
      <c r="H45" s="80"/>
      <c r="I45" s="81"/>
      <c r="K45" s="79" t="s">
        <v>46</v>
      </c>
      <c r="L45" s="80"/>
      <c r="M45" s="80"/>
      <c r="N45" s="80"/>
      <c r="O45" s="80"/>
      <c r="P45" s="80"/>
      <c r="Q45" s="80"/>
      <c r="R45" s="81"/>
      <c r="T45" s="79" t="s">
        <v>46</v>
      </c>
      <c r="U45" s="80"/>
      <c r="V45" s="80"/>
      <c r="W45" s="80"/>
      <c r="X45" s="80"/>
      <c r="Y45" s="80"/>
      <c r="Z45" s="80"/>
      <c r="AA45" s="81"/>
      <c r="AC45" s="79" t="s">
        <v>46</v>
      </c>
      <c r="AD45" s="80"/>
      <c r="AE45" s="80"/>
      <c r="AF45" s="80"/>
      <c r="AG45" s="80"/>
      <c r="AH45" s="80"/>
      <c r="AI45" s="80"/>
      <c r="AJ45" s="81"/>
    </row>
    <row r="46" spans="2:37" ht="15.6" thickTop="1" thickBot="1"/>
    <row r="47" spans="2:37" ht="15" thickTop="1">
      <c r="B47" s="71"/>
      <c r="C47" s="72" t="s">
        <v>36</v>
      </c>
      <c r="D47" s="72" t="s">
        <v>37</v>
      </c>
      <c r="E47" s="72" t="s">
        <v>38</v>
      </c>
      <c r="F47" s="72" t="s">
        <v>39</v>
      </c>
      <c r="G47" s="72" t="s">
        <v>40</v>
      </c>
      <c r="H47" s="72" t="s">
        <v>41</v>
      </c>
      <c r="I47" s="86" t="s">
        <v>42</v>
      </c>
      <c r="J47" s="60"/>
      <c r="K47" s="71"/>
      <c r="L47" s="72" t="s">
        <v>36</v>
      </c>
      <c r="M47" s="72" t="s">
        <v>37</v>
      </c>
      <c r="N47" s="72" t="s">
        <v>38</v>
      </c>
      <c r="O47" s="72" t="s">
        <v>39</v>
      </c>
      <c r="P47" s="72" t="s">
        <v>40</v>
      </c>
      <c r="Q47" s="72" t="s">
        <v>41</v>
      </c>
      <c r="R47" s="86" t="s">
        <v>42</v>
      </c>
      <c r="T47" s="71"/>
      <c r="U47" s="72" t="s">
        <v>36</v>
      </c>
      <c r="V47" s="72" t="s">
        <v>37</v>
      </c>
      <c r="W47" s="72" t="s">
        <v>38</v>
      </c>
      <c r="X47" s="72" t="s">
        <v>39</v>
      </c>
      <c r="Y47" s="72" t="s">
        <v>40</v>
      </c>
      <c r="Z47" s="72" t="s">
        <v>41</v>
      </c>
      <c r="AA47" s="86" t="s">
        <v>42</v>
      </c>
      <c r="AC47" s="71"/>
      <c r="AD47" s="72" t="s">
        <v>36</v>
      </c>
      <c r="AE47" s="72" t="s">
        <v>37</v>
      </c>
      <c r="AF47" s="72" t="s">
        <v>38</v>
      </c>
      <c r="AG47" s="72" t="s">
        <v>39</v>
      </c>
      <c r="AH47" s="72" t="s">
        <v>40</v>
      </c>
      <c r="AI47" s="72" t="s">
        <v>41</v>
      </c>
      <c r="AJ47" s="86" t="s">
        <v>42</v>
      </c>
    </row>
    <row r="48" spans="2:37" ht="15" thickBot="1">
      <c r="B48" s="74"/>
      <c r="C48" s="60"/>
      <c r="D48" s="60"/>
      <c r="E48" s="60"/>
      <c r="F48" s="60"/>
      <c r="G48" s="60"/>
      <c r="H48" s="60"/>
      <c r="I48" s="75"/>
      <c r="K48" s="74"/>
      <c r="L48" s="60">
        <v>46074</v>
      </c>
      <c r="M48" s="60">
        <v>46075</v>
      </c>
      <c r="N48" s="60">
        <v>46076</v>
      </c>
      <c r="O48" s="60">
        <v>46077</v>
      </c>
      <c r="P48" s="60">
        <v>46078</v>
      </c>
      <c r="Q48" s="60">
        <v>46079</v>
      </c>
      <c r="R48" s="75"/>
      <c r="T48" s="74"/>
      <c r="U48" s="60">
        <v>46102</v>
      </c>
      <c r="V48" s="60">
        <v>46103</v>
      </c>
      <c r="W48" s="60">
        <v>46104</v>
      </c>
      <c r="X48" s="60">
        <v>46105</v>
      </c>
      <c r="Y48" s="60">
        <v>46106</v>
      </c>
      <c r="Z48" s="60">
        <v>46107</v>
      </c>
      <c r="AA48" s="75"/>
      <c r="AC48" s="74"/>
      <c r="AD48" s="60">
        <v>46137</v>
      </c>
      <c r="AE48" s="60">
        <v>46138</v>
      </c>
      <c r="AF48" s="60"/>
      <c r="AG48" s="60"/>
      <c r="AH48" s="60"/>
      <c r="AI48" s="60"/>
      <c r="AJ48" s="75"/>
    </row>
    <row r="49" spans="2:36" ht="15.6" thickTop="1" thickBot="1">
      <c r="B49" s="77" t="s">
        <v>44</v>
      </c>
      <c r="C49" s="78"/>
      <c r="D49" s="72"/>
      <c r="E49" s="72"/>
      <c r="F49" s="72"/>
      <c r="G49" s="72"/>
      <c r="H49" s="72"/>
      <c r="I49" s="73"/>
      <c r="K49" s="77" t="s">
        <v>44</v>
      </c>
      <c r="L49" s="78"/>
      <c r="M49" s="72"/>
      <c r="N49" s="72"/>
      <c r="O49" s="72"/>
      <c r="P49" s="72"/>
      <c r="Q49" s="72"/>
      <c r="R49" s="73"/>
      <c r="T49" s="77" t="s">
        <v>44</v>
      </c>
      <c r="U49" s="78"/>
      <c r="V49" s="72"/>
      <c r="W49" s="72"/>
      <c r="X49" s="72"/>
      <c r="Y49" s="72"/>
      <c r="Z49" s="72"/>
      <c r="AA49" s="73"/>
      <c r="AC49" s="77" t="s">
        <v>44</v>
      </c>
      <c r="AD49" s="78"/>
      <c r="AE49" s="72"/>
      <c r="AF49" s="72"/>
      <c r="AG49" s="72"/>
      <c r="AH49" s="72"/>
      <c r="AI49" s="72"/>
      <c r="AJ49" s="73"/>
    </row>
    <row r="50" spans="2:36" ht="15.6" thickTop="1" thickBot="1">
      <c r="B50" s="82" t="s">
        <v>43</v>
      </c>
      <c r="C50" s="83"/>
      <c r="D50" s="84"/>
      <c r="E50" s="84"/>
      <c r="F50" s="84"/>
      <c r="G50" s="84"/>
      <c r="H50" s="84"/>
      <c r="I50" s="85"/>
      <c r="K50" s="82" t="s">
        <v>43</v>
      </c>
      <c r="L50" s="83"/>
      <c r="M50" s="84"/>
      <c r="N50" s="84"/>
      <c r="O50" s="84"/>
      <c r="P50" s="84"/>
      <c r="Q50" s="84"/>
      <c r="R50" s="85"/>
      <c r="T50" s="82" t="s">
        <v>43</v>
      </c>
      <c r="U50" s="83"/>
      <c r="V50" s="84"/>
      <c r="W50" s="84"/>
      <c r="X50" s="84"/>
      <c r="Y50" s="84"/>
      <c r="Z50" s="84"/>
      <c r="AA50" s="85"/>
      <c r="AC50" s="82" t="s">
        <v>43</v>
      </c>
      <c r="AD50" s="83"/>
      <c r="AE50" s="84"/>
      <c r="AF50" s="84"/>
      <c r="AG50" s="84"/>
      <c r="AH50" s="84"/>
      <c r="AI50" s="84"/>
      <c r="AJ50" s="85"/>
    </row>
    <row r="51" spans="2:36" ht="15.6" thickTop="1" thickBot="1">
      <c r="B51" s="79" t="s">
        <v>45</v>
      </c>
      <c r="C51" s="80"/>
      <c r="D51" s="80"/>
      <c r="E51" s="80"/>
      <c r="F51" s="80"/>
      <c r="G51" s="80"/>
      <c r="H51" s="80"/>
      <c r="I51" s="81"/>
      <c r="K51" s="79" t="s">
        <v>45</v>
      </c>
      <c r="L51" s="80"/>
      <c r="M51" s="80"/>
      <c r="N51" s="80"/>
      <c r="O51" s="80"/>
      <c r="P51" s="80"/>
      <c r="Q51" s="80"/>
      <c r="R51" s="81"/>
      <c r="T51" s="79" t="s">
        <v>45</v>
      </c>
      <c r="U51" s="80"/>
      <c r="V51" s="80"/>
      <c r="W51" s="80"/>
      <c r="X51" s="80"/>
      <c r="Y51" s="80"/>
      <c r="Z51" s="80"/>
      <c r="AA51" s="81"/>
      <c r="AC51" s="79" t="s">
        <v>45</v>
      </c>
      <c r="AD51" s="80">
        <v>1</v>
      </c>
      <c r="AE51" s="80">
        <v>1</v>
      </c>
      <c r="AF51" s="80"/>
      <c r="AG51" s="80"/>
      <c r="AH51" s="80"/>
      <c r="AI51" s="80"/>
      <c r="AJ51" s="81"/>
    </row>
    <row r="52" spans="2:36" ht="15.6" thickTop="1" thickBot="1">
      <c r="B52" s="79" t="s">
        <v>46</v>
      </c>
      <c r="C52" s="80"/>
      <c r="D52" s="80"/>
      <c r="E52" s="80"/>
      <c r="F52" s="80"/>
      <c r="G52" s="80"/>
      <c r="H52" s="80"/>
      <c r="I52" s="81"/>
      <c r="K52" s="79" t="s">
        <v>46</v>
      </c>
      <c r="L52" s="80"/>
      <c r="M52" s="80"/>
      <c r="N52" s="80"/>
      <c r="O52" s="80"/>
      <c r="P52" s="80"/>
      <c r="Q52" s="80"/>
      <c r="R52" s="81"/>
      <c r="T52" s="79" t="s">
        <v>46</v>
      </c>
      <c r="U52" s="80"/>
      <c r="V52" s="80"/>
      <c r="W52" s="80"/>
      <c r="X52" s="80"/>
      <c r="Y52" s="80"/>
      <c r="Z52" s="80"/>
      <c r="AA52" s="81"/>
      <c r="AC52" s="79" t="s">
        <v>46</v>
      </c>
      <c r="AD52" s="80"/>
      <c r="AE52" s="80"/>
      <c r="AF52" s="80"/>
      <c r="AG52" s="80"/>
      <c r="AH52" s="80"/>
      <c r="AI52" s="80"/>
      <c r="AJ52" s="81"/>
    </row>
    <row r="53" spans="2:36" ht="15" thickTop="1"/>
    <row r="58" spans="2:36" ht="409.6">
      <c r="E58" s="54" t="s">
        <v>33</v>
      </c>
      <c r="F58" s="54" t="s">
        <v>34</v>
      </c>
      <c r="G58" s="54" t="s">
        <v>35</v>
      </c>
      <c r="N58" s="54" t="s">
        <v>33</v>
      </c>
      <c r="O58" s="54" t="s">
        <v>34</v>
      </c>
      <c r="P58" s="54" t="s">
        <v>35</v>
      </c>
      <c r="W58" s="54" t="s">
        <v>33</v>
      </c>
      <c r="X58" s="54" t="s">
        <v>34</v>
      </c>
      <c r="Y58" s="54" t="s">
        <v>35</v>
      </c>
      <c r="AF58" s="54" t="s">
        <v>33</v>
      </c>
      <c r="AG58" s="54" t="s">
        <v>34</v>
      </c>
      <c r="AH58" s="54" t="s">
        <v>35</v>
      </c>
    </row>
    <row r="59" spans="2:36" ht="409.6">
      <c r="E59" s="54">
        <v>1500</v>
      </c>
      <c r="F59" s="55">
        <v>0.15</v>
      </c>
      <c r="G59" s="54">
        <f>SUM(E59+(E59*F59))</f>
        <v>1725</v>
      </c>
      <c r="N59" s="54">
        <v>1500</v>
      </c>
      <c r="O59" s="55">
        <v>0.15</v>
      </c>
      <c r="P59" s="54">
        <f>SUM(N59+(N59*O59))</f>
        <v>1725</v>
      </c>
      <c r="W59" s="54">
        <v>1500</v>
      </c>
      <c r="X59" s="55">
        <v>0.15</v>
      </c>
      <c r="Y59" s="54">
        <f>SUM(W59+(W59*X59))</f>
        <v>1725</v>
      </c>
      <c r="AF59" s="54">
        <v>1500</v>
      </c>
      <c r="AG59" s="55">
        <v>0.15</v>
      </c>
      <c r="AH59" s="54">
        <f>SUM(AF59+(AF59*AG59))</f>
        <v>1725</v>
      </c>
    </row>
    <row r="60" spans="2:36" ht="409.6">
      <c r="D60" s="54" t="s">
        <v>29</v>
      </c>
      <c r="E60" s="54" t="s">
        <v>11</v>
      </c>
      <c r="F60" s="54" t="s">
        <v>30</v>
      </c>
      <c r="G60" s="54" t="s">
        <v>31</v>
      </c>
      <c r="H60" s="54" t="s">
        <v>32</v>
      </c>
      <c r="M60" s="54" t="s">
        <v>29</v>
      </c>
      <c r="N60" s="54" t="s">
        <v>11</v>
      </c>
      <c r="O60" s="54" t="s">
        <v>30</v>
      </c>
      <c r="P60" s="54" t="s">
        <v>31</v>
      </c>
      <c r="Q60" s="54" t="s">
        <v>32</v>
      </c>
      <c r="V60" s="54" t="s">
        <v>29</v>
      </c>
      <c r="W60" s="54" t="s">
        <v>11</v>
      </c>
      <c r="X60" s="54" t="s">
        <v>30</v>
      </c>
      <c r="Y60" s="54" t="s">
        <v>31</v>
      </c>
      <c r="Z60" s="54" t="s">
        <v>32</v>
      </c>
      <c r="AE60" s="54" t="s">
        <v>29</v>
      </c>
      <c r="AF60" s="54" t="s">
        <v>11</v>
      </c>
      <c r="AG60" s="54" t="s">
        <v>30</v>
      </c>
      <c r="AH60" s="54" t="s">
        <v>31</v>
      </c>
      <c r="AI60" s="54" t="s">
        <v>32</v>
      </c>
    </row>
    <row r="61" spans="2:36" ht="409.6">
      <c r="D61" s="54">
        <f>SUM(G59)</f>
        <v>1725</v>
      </c>
      <c r="E61" s="56">
        <f>SUM(D61/30)</f>
        <v>57.5</v>
      </c>
      <c r="F61" s="54">
        <v>30</v>
      </c>
      <c r="G61" s="54">
        <f>SUM(C72:I72,C80:I80,C96:I96)</f>
        <v>0</v>
      </c>
      <c r="H61" s="54">
        <f>SUM(F61-G61)</f>
        <v>30</v>
      </c>
      <c r="M61" s="54">
        <f>SUM(P59)</f>
        <v>1725</v>
      </c>
      <c r="N61" s="56">
        <f>SUM(M61/30)</f>
        <v>57.5</v>
      </c>
      <c r="O61" s="54">
        <v>30</v>
      </c>
      <c r="P61" s="54">
        <f>SUM(L72:R72,L80:R80,L96:R96)</f>
        <v>0</v>
      </c>
      <c r="Q61" s="54">
        <f>SUM(O61-P61)</f>
        <v>30</v>
      </c>
      <c r="V61" s="54">
        <f>SUM(Y59)</f>
        <v>1725</v>
      </c>
      <c r="W61" s="56">
        <f>SUM(V61/30)</f>
        <v>57.5</v>
      </c>
      <c r="X61" s="54">
        <v>30</v>
      </c>
      <c r="Y61" s="54">
        <f>SUM(U72:AA72,U80:AA80,U96:AA96)</f>
        <v>0</v>
      </c>
      <c r="Z61" s="54">
        <f>SUM(X61-Y61)</f>
        <v>30</v>
      </c>
      <c r="AE61" s="54">
        <f>SUM(AH59)</f>
        <v>1725</v>
      </c>
      <c r="AF61" s="56">
        <f>SUM(AE61/30)</f>
        <v>57.5</v>
      </c>
      <c r="AG61" s="54">
        <v>30</v>
      </c>
      <c r="AH61" s="54">
        <f>SUM(AD72:AJ72,AD80:AJ80,AD96:AJ96)</f>
        <v>0</v>
      </c>
      <c r="AI61" s="54">
        <f>SUM(AG61-AH61)</f>
        <v>30</v>
      </c>
    </row>
    <row r="62" spans="2:36" ht="409.6">
      <c r="E62" s="56"/>
    </row>
    <row r="63" spans="2:36" ht="15.75" thickBot="1">
      <c r="E63" s="56"/>
    </row>
    <row r="64" spans="2:36" ht="15" thickTop="1">
      <c r="B64" s="87" t="s">
        <v>49</v>
      </c>
      <c r="C64" s="88"/>
      <c r="D64" s="88"/>
      <c r="E64" s="88"/>
      <c r="F64" s="88"/>
      <c r="G64" s="88"/>
      <c r="H64" s="88"/>
      <c r="I64" s="89"/>
      <c r="K64" s="87" t="s">
        <v>50</v>
      </c>
      <c r="L64" s="88"/>
      <c r="M64" s="88"/>
      <c r="N64" s="88"/>
      <c r="O64" s="88"/>
      <c r="P64" s="88"/>
      <c r="Q64" s="88"/>
      <c r="R64" s="89"/>
      <c r="T64" s="87" t="s">
        <v>51</v>
      </c>
      <c r="U64" s="88"/>
      <c r="V64" s="88"/>
      <c r="W64" s="88"/>
      <c r="X64" s="88"/>
      <c r="Y64" s="88"/>
      <c r="Z64" s="88"/>
      <c r="AA64" s="89"/>
      <c r="AC64" s="87" t="s">
        <v>51</v>
      </c>
      <c r="AD64" s="88"/>
      <c r="AE64" s="88"/>
      <c r="AF64" s="88"/>
      <c r="AG64" s="88"/>
      <c r="AH64" s="88"/>
      <c r="AI64" s="88"/>
      <c r="AJ64" s="89"/>
    </row>
    <row r="65" spans="2:37" ht="15" thickBot="1">
      <c r="B65" s="90"/>
      <c r="C65" s="91"/>
      <c r="D65" s="91"/>
      <c r="E65" s="91"/>
      <c r="F65" s="91"/>
      <c r="G65" s="91"/>
      <c r="H65" s="91"/>
      <c r="I65" s="92"/>
      <c r="K65" s="90"/>
      <c r="L65" s="91"/>
      <c r="M65" s="91"/>
      <c r="N65" s="91"/>
      <c r="O65" s="91"/>
      <c r="P65" s="91"/>
      <c r="Q65" s="91"/>
      <c r="R65" s="92"/>
      <c r="T65" s="90"/>
      <c r="U65" s="91"/>
      <c r="V65" s="91"/>
      <c r="W65" s="91"/>
      <c r="X65" s="91"/>
      <c r="Y65" s="91"/>
      <c r="Z65" s="91"/>
      <c r="AA65" s="92"/>
      <c r="AC65" s="90"/>
      <c r="AD65" s="91"/>
      <c r="AE65" s="91"/>
      <c r="AF65" s="91"/>
      <c r="AG65" s="91"/>
      <c r="AH65" s="91"/>
      <c r="AI65" s="91"/>
      <c r="AJ65" s="92"/>
    </row>
    <row r="66" spans="2:37" ht="15" thickTop="1">
      <c r="B66" s="66" t="s">
        <v>12</v>
      </c>
      <c r="C66" s="64" t="s">
        <v>13</v>
      </c>
      <c r="D66" s="67" t="s">
        <v>52</v>
      </c>
      <c r="E66" s="67" t="s">
        <v>53</v>
      </c>
      <c r="F66" s="67" t="s">
        <v>47</v>
      </c>
      <c r="G66" s="67" t="s">
        <v>48</v>
      </c>
      <c r="H66" s="67" t="s">
        <v>7</v>
      </c>
      <c r="I66" s="68" t="s">
        <v>3</v>
      </c>
      <c r="K66" s="66" t="s">
        <v>12</v>
      </c>
      <c r="L66" s="64" t="s">
        <v>13</v>
      </c>
      <c r="M66" s="67" t="s">
        <v>52</v>
      </c>
      <c r="N66" s="67" t="s">
        <v>53</v>
      </c>
      <c r="O66" s="67" t="s">
        <v>47</v>
      </c>
      <c r="P66" s="67" t="s">
        <v>48</v>
      </c>
      <c r="Q66" s="67" t="s">
        <v>7</v>
      </c>
      <c r="R66" s="68" t="s">
        <v>3</v>
      </c>
      <c r="T66" s="66" t="s">
        <v>12</v>
      </c>
      <c r="U66" s="64" t="s">
        <v>13</v>
      </c>
      <c r="V66" s="67" t="s">
        <v>52</v>
      </c>
      <c r="W66" s="67" t="s">
        <v>53</v>
      </c>
      <c r="X66" s="67" t="s">
        <v>47</v>
      </c>
      <c r="Y66" s="67" t="s">
        <v>48</v>
      </c>
      <c r="Z66" s="67" t="s">
        <v>7</v>
      </c>
      <c r="AA66" s="68" t="s">
        <v>3</v>
      </c>
      <c r="AC66" s="66" t="s">
        <v>12</v>
      </c>
      <c r="AD66" s="64" t="s">
        <v>13</v>
      </c>
      <c r="AE66" s="67" t="s">
        <v>52</v>
      </c>
      <c r="AF66" s="67" t="s">
        <v>53</v>
      </c>
      <c r="AG66" s="67" t="s">
        <v>47</v>
      </c>
      <c r="AH66" s="67" t="s">
        <v>48</v>
      </c>
      <c r="AI66" s="67" t="s">
        <v>7</v>
      </c>
      <c r="AJ66" s="68" t="s">
        <v>3</v>
      </c>
    </row>
    <row r="67" spans="2:37" ht="15" thickBot="1">
      <c r="B67" s="65">
        <f>SUM(G67:H67)</f>
        <v>3910</v>
      </c>
      <c r="C67" s="65">
        <f>SUM(B67+I67)</f>
        <v>5635</v>
      </c>
      <c r="D67" s="69">
        <f>SUM(C74:I74,C82:I82,C90:I90,C98:I98,C106:I106,C114:I114)</f>
        <v>38</v>
      </c>
      <c r="E67" s="69">
        <f>SUM(D67*E61)</f>
        <v>2185</v>
      </c>
      <c r="F67" s="69">
        <f>SUM(D67+30)</f>
        <v>68</v>
      </c>
      <c r="G67" s="69">
        <f>SUM(I67+E67)</f>
        <v>3910</v>
      </c>
      <c r="H67" s="69">
        <f>SUM(C75:I75,C83:I83,C91:I91,C99:I99,C107:I107,C115:I115)*20</f>
        <v>0</v>
      </c>
      <c r="I67" s="70">
        <f>SUM(G59)</f>
        <v>1725</v>
      </c>
      <c r="K67" s="65">
        <f>SUM(P67:Q67)</f>
        <v>4082.5</v>
      </c>
      <c r="L67" s="65">
        <f>SUM(K67+R67)</f>
        <v>5807.5</v>
      </c>
      <c r="M67" s="69">
        <f>SUM(L74:R74,L82:R82,L90:R90,L98:R98,L106:R106,L114:R114)</f>
        <v>41</v>
      </c>
      <c r="N67" s="69">
        <f>SUM(M67*N61)</f>
        <v>2357.5</v>
      </c>
      <c r="O67" s="69">
        <f>SUM(M67+30)</f>
        <v>71</v>
      </c>
      <c r="P67" s="69">
        <f>SUM(R67+N67)</f>
        <v>4082.5</v>
      </c>
      <c r="Q67" s="69">
        <f>SUM(L75:R75,L83:R83,L91:R91,L99:R99,L107:R107,L115:R115)*20</f>
        <v>0</v>
      </c>
      <c r="R67" s="70">
        <f>SUM(P59)</f>
        <v>1725</v>
      </c>
      <c r="T67" s="65">
        <f>SUM(Y67:Z67)</f>
        <v>3910</v>
      </c>
      <c r="U67" s="65">
        <f>SUM(T67+AA67)</f>
        <v>5635</v>
      </c>
      <c r="V67" s="69">
        <f>SUM(U74:AA74,U82:AA82,U90:AA90,U98:AA98,U106:AA106,U114:AA114)</f>
        <v>38</v>
      </c>
      <c r="W67" s="69">
        <f>SUM(V67*W61)</f>
        <v>2185</v>
      </c>
      <c r="X67" s="69">
        <f>SUM(V67+30)</f>
        <v>68</v>
      </c>
      <c r="Y67" s="69">
        <f>SUM(AA67+W67)</f>
        <v>3910</v>
      </c>
      <c r="Z67" s="69">
        <f>SUM(U75:AA75,U83:AA83,U91:AA91,U99:AA99,U107:AA107,U115:AA115)*20</f>
        <v>0</v>
      </c>
      <c r="AA67" s="70">
        <f>SUM(Y59)</f>
        <v>1725</v>
      </c>
      <c r="AC67" s="65">
        <f>SUM(AH67:AI67)</f>
        <v>4082.5</v>
      </c>
      <c r="AD67" s="65">
        <f>SUM(AC67+AJ67)</f>
        <v>5807.5</v>
      </c>
      <c r="AE67" s="69">
        <f>SUM(AD74:AJ74,AD82:AJ82,AD90:AJ90,AD98:AJ98,AD106:AJ106,AD114:AJ114)</f>
        <v>41</v>
      </c>
      <c r="AF67" s="69">
        <f>SUM(AE67*AF61)</f>
        <v>2357.5</v>
      </c>
      <c r="AG67" s="69">
        <f>SUM(AE67+30)</f>
        <v>71</v>
      </c>
      <c r="AH67" s="69">
        <f>SUM(AJ67+AF67)</f>
        <v>4082.5</v>
      </c>
      <c r="AI67" s="69">
        <f>SUM(AD75:AJ75,AD83:AJ83,AD91:AJ91,AD99:AJ99,AD107:AJ107,AD115:AJ115)*20</f>
        <v>0</v>
      </c>
      <c r="AJ67" s="70">
        <f>SUM(AH59)</f>
        <v>1725</v>
      </c>
    </row>
    <row r="68" spans="2:37" s="1" customFormat="1" ht="15.6" thickTop="1" thickBot="1"/>
    <row r="69" spans="2:37" ht="15" thickTop="1">
      <c r="B69" s="71"/>
      <c r="C69" s="72" t="s">
        <v>36</v>
      </c>
      <c r="D69" s="72" t="s">
        <v>37</v>
      </c>
      <c r="E69" s="72" t="s">
        <v>38</v>
      </c>
      <c r="F69" s="72" t="s">
        <v>39</v>
      </c>
      <c r="G69" s="72" t="s">
        <v>40</v>
      </c>
      <c r="H69" s="72" t="s">
        <v>41</v>
      </c>
      <c r="I69" s="86" t="s">
        <v>42</v>
      </c>
      <c r="K69" s="71"/>
      <c r="L69" s="72" t="s">
        <v>36</v>
      </c>
      <c r="M69" s="72" t="s">
        <v>37</v>
      </c>
      <c r="N69" s="72" t="s">
        <v>38</v>
      </c>
      <c r="O69" s="72" t="s">
        <v>39</v>
      </c>
      <c r="P69" s="72" t="s">
        <v>40</v>
      </c>
      <c r="Q69" s="72" t="s">
        <v>41</v>
      </c>
      <c r="R69" s="86" t="s">
        <v>42</v>
      </c>
      <c r="T69" s="71"/>
      <c r="U69" s="72" t="s">
        <v>36</v>
      </c>
      <c r="V69" s="72" t="s">
        <v>37</v>
      </c>
      <c r="W69" s="72" t="s">
        <v>38</v>
      </c>
      <c r="X69" s="72" t="s">
        <v>39</v>
      </c>
      <c r="Y69" s="72" t="s">
        <v>40</v>
      </c>
      <c r="Z69" s="72" t="s">
        <v>41</v>
      </c>
      <c r="AA69" s="86" t="s">
        <v>42</v>
      </c>
      <c r="AC69" s="71"/>
      <c r="AD69" s="72" t="s">
        <v>36</v>
      </c>
      <c r="AE69" s="72" t="s">
        <v>37</v>
      </c>
      <c r="AF69" s="72" t="s">
        <v>38</v>
      </c>
      <c r="AG69" s="72" t="s">
        <v>39</v>
      </c>
      <c r="AH69" s="72" t="s">
        <v>40</v>
      </c>
      <c r="AI69" s="72" t="s">
        <v>41</v>
      </c>
      <c r="AJ69" s="86" t="s">
        <v>42</v>
      </c>
    </row>
    <row r="70" spans="2:37" ht="15" thickBot="1">
      <c r="B70" s="74"/>
      <c r="C70" s="60"/>
      <c r="D70" s="60"/>
      <c r="E70" s="60">
        <v>46139</v>
      </c>
      <c r="F70" s="60">
        <v>46140</v>
      </c>
      <c r="G70" s="60">
        <v>46141</v>
      </c>
      <c r="H70" s="60">
        <v>46142</v>
      </c>
      <c r="I70" s="75">
        <v>46143</v>
      </c>
      <c r="J70" s="60"/>
      <c r="K70" s="74"/>
      <c r="L70" s="60"/>
      <c r="M70" s="60"/>
      <c r="N70" s="60"/>
      <c r="O70" s="60"/>
      <c r="P70" s="60">
        <v>46169</v>
      </c>
      <c r="Q70" s="60">
        <v>46170</v>
      </c>
      <c r="R70" s="75">
        <v>46171</v>
      </c>
      <c r="S70" s="60"/>
      <c r="T70" s="74"/>
      <c r="U70" s="60">
        <v>46200</v>
      </c>
      <c r="V70" s="60">
        <v>46201</v>
      </c>
      <c r="W70" s="60">
        <v>46202</v>
      </c>
      <c r="X70" s="60">
        <v>46203</v>
      </c>
      <c r="Y70" s="60">
        <v>46204</v>
      </c>
      <c r="Z70" s="60">
        <v>46205</v>
      </c>
      <c r="AA70" s="75">
        <v>46206</v>
      </c>
      <c r="AB70" s="60"/>
      <c r="AC70" s="74"/>
      <c r="AD70" s="60"/>
      <c r="AE70" s="60"/>
      <c r="AF70" s="60">
        <v>46230</v>
      </c>
      <c r="AG70" s="60">
        <v>46231</v>
      </c>
      <c r="AH70" s="60">
        <v>46232</v>
      </c>
      <c r="AI70" s="60">
        <v>46233</v>
      </c>
      <c r="AJ70" s="75">
        <v>46234</v>
      </c>
      <c r="AK70" s="60"/>
    </row>
    <row r="71" spans="2:37" ht="15.6" thickTop="1" thickBot="1">
      <c r="B71" s="77" t="s">
        <v>44</v>
      </c>
      <c r="C71" s="78"/>
      <c r="D71" s="72"/>
      <c r="E71" s="72"/>
      <c r="F71" s="72"/>
      <c r="G71" s="72"/>
      <c r="H71" s="72"/>
      <c r="I71" s="73"/>
      <c r="K71" s="77" t="s">
        <v>44</v>
      </c>
      <c r="L71" s="78"/>
      <c r="M71" s="72"/>
      <c r="N71" s="72"/>
      <c r="O71" s="72"/>
      <c r="P71" s="72"/>
      <c r="Q71" s="72"/>
      <c r="R71" s="73"/>
      <c r="T71" s="77" t="s">
        <v>44</v>
      </c>
      <c r="U71" s="78"/>
      <c r="V71" s="72"/>
      <c r="W71" s="72"/>
      <c r="X71" s="72"/>
      <c r="Y71" s="72"/>
      <c r="Z71" s="72"/>
      <c r="AA71" s="73"/>
      <c r="AC71" s="77" t="s">
        <v>44</v>
      </c>
      <c r="AD71" s="78"/>
      <c r="AE71" s="72"/>
      <c r="AF71" s="72"/>
      <c r="AG71" s="72"/>
      <c r="AH71" s="72"/>
      <c r="AI71" s="72"/>
      <c r="AJ71" s="73"/>
    </row>
    <row r="72" spans="2:37" ht="15.6" thickTop="1" thickBot="1">
      <c r="B72" s="82" t="s">
        <v>43</v>
      </c>
      <c r="C72" s="83"/>
      <c r="D72" s="84"/>
      <c r="E72" s="84"/>
      <c r="F72" s="84"/>
      <c r="G72" s="84"/>
      <c r="H72" s="84"/>
      <c r="I72" s="85"/>
      <c r="K72" s="82" t="s">
        <v>43</v>
      </c>
      <c r="L72" s="83"/>
      <c r="M72" s="84"/>
      <c r="N72" s="84"/>
      <c r="O72" s="84"/>
      <c r="P72" s="84"/>
      <c r="Q72" s="84"/>
      <c r="R72" s="85"/>
      <c r="T72" s="82" t="s">
        <v>43</v>
      </c>
      <c r="U72" s="83"/>
      <c r="V72" s="84"/>
      <c r="W72" s="84"/>
      <c r="X72" s="84"/>
      <c r="Y72" s="84"/>
      <c r="Z72" s="84"/>
      <c r="AA72" s="85"/>
      <c r="AC72" s="82" t="s">
        <v>43</v>
      </c>
      <c r="AD72" s="83"/>
      <c r="AE72" s="84"/>
      <c r="AF72" s="84"/>
      <c r="AG72" s="84"/>
      <c r="AH72" s="84"/>
      <c r="AI72" s="84"/>
      <c r="AJ72" s="85"/>
    </row>
    <row r="73" spans="2:37" ht="15" thickTop="1">
      <c r="B73" s="74" t="s">
        <v>14</v>
      </c>
      <c r="C73" s="61"/>
      <c r="D73" s="61"/>
      <c r="E73" s="61">
        <v>1</v>
      </c>
      <c r="F73" s="61">
        <v>1</v>
      </c>
      <c r="G73" s="61">
        <v>1</v>
      </c>
      <c r="H73" s="61">
        <v>1</v>
      </c>
      <c r="I73" s="76">
        <v>1</v>
      </c>
      <c r="K73" s="74" t="s">
        <v>14</v>
      </c>
      <c r="L73" s="61"/>
      <c r="M73" s="61"/>
      <c r="N73" s="61"/>
      <c r="O73" s="61"/>
      <c r="P73" s="61">
        <v>1</v>
      </c>
      <c r="Q73" s="61">
        <v>1</v>
      </c>
      <c r="R73" s="76">
        <v>1</v>
      </c>
      <c r="T73" s="74" t="s">
        <v>14</v>
      </c>
      <c r="U73" s="61">
        <v>1</v>
      </c>
      <c r="V73" s="61">
        <v>1</v>
      </c>
      <c r="W73" s="61">
        <v>1</v>
      </c>
      <c r="X73" s="61">
        <v>1</v>
      </c>
      <c r="Y73" s="61">
        <v>1</v>
      </c>
      <c r="Z73" s="61">
        <v>1</v>
      </c>
      <c r="AA73" s="76">
        <v>1</v>
      </c>
      <c r="AC73" s="74" t="s">
        <v>14</v>
      </c>
      <c r="AD73" s="61"/>
      <c r="AE73" s="61"/>
      <c r="AF73" s="61">
        <v>1</v>
      </c>
      <c r="AG73" s="61">
        <v>1</v>
      </c>
      <c r="AH73" s="61">
        <v>1</v>
      </c>
      <c r="AI73" s="61">
        <v>1</v>
      </c>
      <c r="AJ73" s="76">
        <v>0</v>
      </c>
    </row>
    <row r="74" spans="2:37" ht="15" thickBot="1">
      <c r="B74" s="79" t="s">
        <v>45</v>
      </c>
      <c r="C74" s="80"/>
      <c r="D74" s="80"/>
      <c r="E74" s="80">
        <v>1</v>
      </c>
      <c r="F74" s="80">
        <v>1</v>
      </c>
      <c r="G74" s="80">
        <v>1</v>
      </c>
      <c r="H74" s="80">
        <v>1</v>
      </c>
      <c r="I74" s="81">
        <v>3</v>
      </c>
      <c r="K74" s="79" t="s">
        <v>45</v>
      </c>
      <c r="L74" s="80"/>
      <c r="M74" s="80"/>
      <c r="N74" s="80"/>
      <c r="O74" s="80"/>
      <c r="P74" s="80">
        <v>1</v>
      </c>
      <c r="Q74" s="80">
        <v>1</v>
      </c>
      <c r="R74" s="81">
        <v>3</v>
      </c>
      <c r="T74" s="79" t="s">
        <v>45</v>
      </c>
      <c r="U74" s="80">
        <v>1</v>
      </c>
      <c r="V74" s="80">
        <v>1</v>
      </c>
      <c r="W74" s="80">
        <v>1</v>
      </c>
      <c r="X74" s="80">
        <v>1</v>
      </c>
      <c r="Y74" s="80">
        <v>1</v>
      </c>
      <c r="Z74" s="80">
        <v>1</v>
      </c>
      <c r="AA74" s="81">
        <v>3</v>
      </c>
      <c r="AC74" s="79" t="s">
        <v>45</v>
      </c>
      <c r="AD74" s="80"/>
      <c r="AE74" s="80"/>
      <c r="AF74" s="80">
        <v>1</v>
      </c>
      <c r="AG74" s="80">
        <v>1</v>
      </c>
      <c r="AH74" s="80">
        <v>1</v>
      </c>
      <c r="AI74" s="80">
        <v>1</v>
      </c>
      <c r="AJ74" s="81">
        <v>3</v>
      </c>
    </row>
    <row r="75" spans="2:37" ht="15.6" thickTop="1" thickBot="1">
      <c r="B75" s="79" t="s">
        <v>46</v>
      </c>
      <c r="C75" s="80"/>
      <c r="D75" s="80"/>
      <c r="E75" s="80"/>
      <c r="F75" s="80"/>
      <c r="G75" s="80"/>
      <c r="H75" s="80"/>
      <c r="I75" s="81"/>
      <c r="K75" s="79" t="s">
        <v>46</v>
      </c>
      <c r="L75" s="80"/>
      <c r="M75" s="80"/>
      <c r="N75" s="80"/>
      <c r="O75" s="80"/>
      <c r="P75" s="80"/>
      <c r="Q75" s="80"/>
      <c r="R75" s="81"/>
      <c r="T75" s="79" t="s">
        <v>46</v>
      </c>
      <c r="U75" s="80"/>
      <c r="V75" s="80"/>
      <c r="W75" s="80"/>
      <c r="X75" s="80"/>
      <c r="Y75" s="80"/>
      <c r="Z75" s="80"/>
      <c r="AA75" s="81"/>
      <c r="AC75" s="79" t="s">
        <v>46</v>
      </c>
      <c r="AD75" s="80"/>
      <c r="AE75" s="80"/>
      <c r="AF75" s="80"/>
      <c r="AG75" s="80"/>
      <c r="AH75" s="80"/>
      <c r="AI75" s="80"/>
      <c r="AJ75" s="81"/>
    </row>
    <row r="76" spans="2:37" s="1" customFormat="1" ht="15.6" thickTop="1" thickBot="1"/>
    <row r="77" spans="2:37" ht="15" thickTop="1">
      <c r="B77" s="71"/>
      <c r="C77" s="72" t="s">
        <v>36</v>
      </c>
      <c r="D77" s="72" t="s">
        <v>37</v>
      </c>
      <c r="E77" s="72" t="s">
        <v>38</v>
      </c>
      <c r="F77" s="72" t="s">
        <v>39</v>
      </c>
      <c r="G77" s="72" t="s">
        <v>40</v>
      </c>
      <c r="H77" s="72" t="s">
        <v>41</v>
      </c>
      <c r="I77" s="86" t="s">
        <v>42</v>
      </c>
      <c r="J77" s="57"/>
      <c r="K77" s="71"/>
      <c r="L77" s="72" t="s">
        <v>36</v>
      </c>
      <c r="M77" s="72" t="s">
        <v>37</v>
      </c>
      <c r="N77" s="72" t="s">
        <v>38</v>
      </c>
      <c r="O77" s="72" t="s">
        <v>39</v>
      </c>
      <c r="P77" s="72" t="s">
        <v>40</v>
      </c>
      <c r="Q77" s="72" t="s">
        <v>41</v>
      </c>
      <c r="R77" s="86" t="s">
        <v>42</v>
      </c>
      <c r="T77" s="71"/>
      <c r="U77" s="72" t="s">
        <v>36</v>
      </c>
      <c r="V77" s="72" t="s">
        <v>37</v>
      </c>
      <c r="W77" s="72" t="s">
        <v>38</v>
      </c>
      <c r="X77" s="72" t="s">
        <v>39</v>
      </c>
      <c r="Y77" s="72" t="s">
        <v>40</v>
      </c>
      <c r="Z77" s="72" t="s">
        <v>41</v>
      </c>
      <c r="AA77" s="86" t="s">
        <v>42</v>
      </c>
      <c r="AC77" s="71"/>
      <c r="AD77" s="72" t="s">
        <v>36</v>
      </c>
      <c r="AE77" s="72" t="s">
        <v>37</v>
      </c>
      <c r="AF77" s="72" t="s">
        <v>38</v>
      </c>
      <c r="AG77" s="72" t="s">
        <v>39</v>
      </c>
      <c r="AH77" s="72" t="s">
        <v>40</v>
      </c>
      <c r="AI77" s="72" t="s">
        <v>41</v>
      </c>
      <c r="AJ77" s="86" t="s">
        <v>42</v>
      </c>
    </row>
    <row r="78" spans="2:37" ht="15" thickBot="1">
      <c r="B78" s="74"/>
      <c r="C78" s="60">
        <v>46144</v>
      </c>
      <c r="D78" s="60">
        <v>46145</v>
      </c>
      <c r="E78" s="60">
        <v>46146</v>
      </c>
      <c r="F78" s="60">
        <v>46147</v>
      </c>
      <c r="G78" s="60">
        <v>46148</v>
      </c>
      <c r="H78" s="60">
        <v>46149</v>
      </c>
      <c r="I78" s="75">
        <v>46150</v>
      </c>
      <c r="J78" s="60"/>
      <c r="K78" s="74"/>
      <c r="L78" s="60">
        <v>46172</v>
      </c>
      <c r="M78" s="60">
        <v>46173</v>
      </c>
      <c r="N78" s="60">
        <v>46174</v>
      </c>
      <c r="O78" s="60">
        <v>46175</v>
      </c>
      <c r="P78" s="60">
        <v>46176</v>
      </c>
      <c r="Q78" s="60">
        <v>46177</v>
      </c>
      <c r="R78" s="75">
        <v>46178</v>
      </c>
      <c r="S78" s="60"/>
      <c r="T78" s="74"/>
      <c r="U78" s="60">
        <v>46207</v>
      </c>
      <c r="V78" s="60">
        <v>46208</v>
      </c>
      <c r="W78" s="60">
        <v>46209</v>
      </c>
      <c r="X78" s="60">
        <v>46210</v>
      </c>
      <c r="Y78" s="60">
        <v>46211</v>
      </c>
      <c r="Z78" s="60">
        <v>46212</v>
      </c>
      <c r="AA78" s="75">
        <v>46213</v>
      </c>
      <c r="AB78" s="60"/>
      <c r="AC78" s="74"/>
      <c r="AD78" s="60">
        <v>46235</v>
      </c>
      <c r="AE78" s="60">
        <v>46236</v>
      </c>
      <c r="AF78" s="60">
        <v>46237</v>
      </c>
      <c r="AG78" s="60">
        <v>46238</v>
      </c>
      <c r="AH78" s="60">
        <v>46239</v>
      </c>
      <c r="AI78" s="60">
        <v>46240</v>
      </c>
      <c r="AJ78" s="75">
        <v>46241</v>
      </c>
      <c r="AK78" s="60"/>
    </row>
    <row r="79" spans="2:37" ht="15.6" thickTop="1" thickBot="1">
      <c r="B79" s="77" t="s">
        <v>44</v>
      </c>
      <c r="C79" s="78"/>
      <c r="D79" s="72"/>
      <c r="E79" s="72"/>
      <c r="F79" s="72"/>
      <c r="G79" s="72"/>
      <c r="H79" s="72"/>
      <c r="I79" s="73"/>
      <c r="K79" s="77" t="s">
        <v>44</v>
      </c>
      <c r="L79" s="78"/>
      <c r="M79" s="72"/>
      <c r="N79" s="72"/>
      <c r="O79" s="72"/>
      <c r="P79" s="72"/>
      <c r="Q79" s="72"/>
      <c r="R79" s="73"/>
      <c r="T79" s="77" t="s">
        <v>44</v>
      </c>
      <c r="U79" s="78"/>
      <c r="V79" s="72"/>
      <c r="W79" s="72"/>
      <c r="X79" s="72"/>
      <c r="Y79" s="72"/>
      <c r="Z79" s="72"/>
      <c r="AA79" s="73"/>
      <c r="AC79" s="77" t="s">
        <v>44</v>
      </c>
      <c r="AD79" s="78"/>
      <c r="AE79" s="72"/>
      <c r="AF79" s="72"/>
      <c r="AG79" s="72"/>
      <c r="AH79" s="72"/>
      <c r="AI79" s="72"/>
      <c r="AJ79" s="73"/>
    </row>
    <row r="80" spans="2:37" ht="15.6" thickTop="1" thickBot="1">
      <c r="B80" s="82" t="s">
        <v>43</v>
      </c>
      <c r="C80" s="83"/>
      <c r="D80" s="84"/>
      <c r="E80" s="84"/>
      <c r="F80" s="84"/>
      <c r="G80" s="84"/>
      <c r="H80" s="84"/>
      <c r="I80" s="85"/>
      <c r="K80" s="82" t="s">
        <v>43</v>
      </c>
      <c r="L80" s="83"/>
      <c r="M80" s="84"/>
      <c r="N80" s="84"/>
      <c r="O80" s="84"/>
      <c r="P80" s="84"/>
      <c r="Q80" s="84"/>
      <c r="R80" s="85"/>
      <c r="T80" s="82" t="s">
        <v>43</v>
      </c>
      <c r="U80" s="83"/>
      <c r="V80" s="84"/>
      <c r="W80" s="84"/>
      <c r="X80" s="84"/>
      <c r="Y80" s="84"/>
      <c r="Z80" s="84"/>
      <c r="AA80" s="85"/>
      <c r="AC80" s="82" t="s">
        <v>43</v>
      </c>
      <c r="AD80" s="83"/>
      <c r="AE80" s="84"/>
      <c r="AF80" s="84"/>
      <c r="AG80" s="84"/>
      <c r="AH80" s="84"/>
      <c r="AI80" s="84"/>
      <c r="AJ80" s="85"/>
    </row>
    <row r="81" spans="2:37" ht="15" thickTop="1">
      <c r="B81" s="74" t="s">
        <v>14</v>
      </c>
      <c r="C81" s="61">
        <v>1</v>
      </c>
      <c r="D81" s="61">
        <v>1</v>
      </c>
      <c r="E81" s="61">
        <v>1</v>
      </c>
      <c r="F81" s="61">
        <v>1</v>
      </c>
      <c r="G81" s="61">
        <v>1</v>
      </c>
      <c r="H81" s="61">
        <v>1</v>
      </c>
      <c r="I81" s="76">
        <v>1</v>
      </c>
      <c r="K81" s="74" t="s">
        <v>14</v>
      </c>
      <c r="L81" s="61">
        <v>1</v>
      </c>
      <c r="M81" s="61">
        <v>0</v>
      </c>
      <c r="N81" s="61">
        <v>1</v>
      </c>
      <c r="O81" s="61">
        <v>1</v>
      </c>
      <c r="P81" s="61">
        <v>1</v>
      </c>
      <c r="Q81" s="61">
        <v>1</v>
      </c>
      <c r="R81" s="76">
        <v>1</v>
      </c>
      <c r="T81" s="74" t="s">
        <v>14</v>
      </c>
      <c r="U81" s="61">
        <v>1</v>
      </c>
      <c r="V81" s="61">
        <v>1</v>
      </c>
      <c r="W81" s="61">
        <v>1</v>
      </c>
      <c r="X81" s="61">
        <v>1</v>
      </c>
      <c r="Y81" s="61">
        <v>1</v>
      </c>
      <c r="Z81" s="61">
        <v>1</v>
      </c>
      <c r="AA81" s="76">
        <v>1</v>
      </c>
      <c r="AC81" s="74" t="s">
        <v>14</v>
      </c>
      <c r="AD81" s="61">
        <v>1</v>
      </c>
      <c r="AE81" s="61">
        <v>1</v>
      </c>
      <c r="AF81" s="61">
        <v>1</v>
      </c>
      <c r="AG81" s="61">
        <v>1</v>
      </c>
      <c r="AH81" s="61">
        <v>1</v>
      </c>
      <c r="AI81" s="61">
        <v>1</v>
      </c>
      <c r="AJ81" s="76">
        <v>1</v>
      </c>
    </row>
    <row r="82" spans="2:37" ht="15" thickBot="1">
      <c r="B82" s="79" t="s">
        <v>45</v>
      </c>
      <c r="C82" s="80">
        <v>1</v>
      </c>
      <c r="D82" s="80">
        <v>1</v>
      </c>
      <c r="E82" s="80">
        <v>1</v>
      </c>
      <c r="F82" s="80">
        <v>1</v>
      </c>
      <c r="G82" s="80">
        <v>1</v>
      </c>
      <c r="H82" s="80">
        <v>1</v>
      </c>
      <c r="I82" s="81">
        <v>3</v>
      </c>
      <c r="K82" s="79" t="s">
        <v>45</v>
      </c>
      <c r="L82" s="80">
        <v>1</v>
      </c>
      <c r="M82" s="80">
        <v>1</v>
      </c>
      <c r="N82" s="80">
        <v>1</v>
      </c>
      <c r="O82" s="80">
        <v>1</v>
      </c>
      <c r="P82" s="80">
        <v>1</v>
      </c>
      <c r="Q82" s="80">
        <v>1</v>
      </c>
      <c r="R82" s="81">
        <v>3</v>
      </c>
      <c r="T82" s="79" t="s">
        <v>45</v>
      </c>
      <c r="U82" s="80">
        <v>1</v>
      </c>
      <c r="V82" s="80">
        <v>1</v>
      </c>
      <c r="W82" s="80">
        <v>1</v>
      </c>
      <c r="X82" s="80">
        <v>1</v>
      </c>
      <c r="Y82" s="80">
        <v>1</v>
      </c>
      <c r="Z82" s="80">
        <v>1</v>
      </c>
      <c r="AA82" s="81">
        <v>3</v>
      </c>
      <c r="AC82" s="79" t="s">
        <v>45</v>
      </c>
      <c r="AD82" s="80">
        <v>1</v>
      </c>
      <c r="AE82" s="80">
        <v>1</v>
      </c>
      <c r="AF82" s="80">
        <v>1</v>
      </c>
      <c r="AG82" s="80">
        <v>1</v>
      </c>
      <c r="AH82" s="80">
        <v>1</v>
      </c>
      <c r="AI82" s="80">
        <v>1</v>
      </c>
      <c r="AJ82" s="81">
        <v>3</v>
      </c>
    </row>
    <row r="83" spans="2:37" ht="15.6" thickTop="1" thickBot="1">
      <c r="B83" s="79" t="s">
        <v>46</v>
      </c>
      <c r="C83" s="80"/>
      <c r="D83" s="80"/>
      <c r="E83" s="80"/>
      <c r="F83" s="80"/>
      <c r="G83" s="80"/>
      <c r="H83" s="80"/>
      <c r="I83" s="81"/>
      <c r="K83" s="79" t="s">
        <v>46</v>
      </c>
      <c r="L83" s="80"/>
      <c r="M83" s="80"/>
      <c r="N83" s="80"/>
      <c r="O83" s="80"/>
      <c r="P83" s="80"/>
      <c r="Q83" s="80"/>
      <c r="R83" s="81"/>
      <c r="T83" s="79" t="s">
        <v>46</v>
      </c>
      <c r="U83" s="80"/>
      <c r="V83" s="80"/>
      <c r="W83" s="80"/>
      <c r="X83" s="80"/>
      <c r="Y83" s="80"/>
      <c r="Z83" s="80"/>
      <c r="AA83" s="81"/>
      <c r="AC83" s="79" t="s">
        <v>46</v>
      </c>
      <c r="AD83" s="80"/>
      <c r="AE83" s="80"/>
      <c r="AF83" s="80"/>
      <c r="AG83" s="80"/>
      <c r="AH83" s="80"/>
      <c r="AI83" s="80"/>
      <c r="AJ83" s="81"/>
    </row>
    <row r="84" spans="2:37" s="1" customFormat="1" ht="15.6" thickTop="1" thickBot="1"/>
    <row r="85" spans="2:37" ht="15" thickTop="1">
      <c r="B85" s="71"/>
      <c r="C85" s="72" t="s">
        <v>36</v>
      </c>
      <c r="D85" s="72" t="s">
        <v>37</v>
      </c>
      <c r="E85" s="72" t="s">
        <v>38</v>
      </c>
      <c r="F85" s="72" t="s">
        <v>39</v>
      </c>
      <c r="G85" s="72" t="s">
        <v>40</v>
      </c>
      <c r="H85" s="72" t="s">
        <v>41</v>
      </c>
      <c r="I85" s="86" t="s">
        <v>42</v>
      </c>
      <c r="J85" s="57"/>
      <c r="K85" s="71"/>
      <c r="L85" s="72" t="s">
        <v>36</v>
      </c>
      <c r="M85" s="72" t="s">
        <v>37</v>
      </c>
      <c r="N85" s="72" t="s">
        <v>38</v>
      </c>
      <c r="O85" s="72" t="s">
        <v>39</v>
      </c>
      <c r="P85" s="72" t="s">
        <v>40</v>
      </c>
      <c r="Q85" s="72" t="s">
        <v>41</v>
      </c>
      <c r="R85" s="86" t="s">
        <v>42</v>
      </c>
      <c r="T85" s="71"/>
      <c r="U85" s="72" t="s">
        <v>36</v>
      </c>
      <c r="V85" s="72" t="s">
        <v>37</v>
      </c>
      <c r="W85" s="72" t="s">
        <v>38</v>
      </c>
      <c r="X85" s="72" t="s">
        <v>39</v>
      </c>
      <c r="Y85" s="72" t="s">
        <v>40</v>
      </c>
      <c r="Z85" s="72" t="s">
        <v>41</v>
      </c>
      <c r="AA85" s="86" t="s">
        <v>42</v>
      </c>
      <c r="AC85" s="71"/>
      <c r="AD85" s="72" t="s">
        <v>36</v>
      </c>
      <c r="AE85" s="72" t="s">
        <v>37</v>
      </c>
      <c r="AF85" s="72" t="s">
        <v>38</v>
      </c>
      <c r="AG85" s="72" t="s">
        <v>39</v>
      </c>
      <c r="AH85" s="72" t="s">
        <v>40</v>
      </c>
      <c r="AI85" s="72" t="s">
        <v>41</v>
      </c>
      <c r="AJ85" s="86" t="s">
        <v>42</v>
      </c>
    </row>
    <row r="86" spans="2:37" ht="15" thickBot="1">
      <c r="B86" s="74"/>
      <c r="C86" s="60">
        <v>46151</v>
      </c>
      <c r="D86" s="60">
        <v>46152</v>
      </c>
      <c r="E86" s="60">
        <v>46153</v>
      </c>
      <c r="F86" s="60">
        <v>46154</v>
      </c>
      <c r="G86" s="60">
        <v>46155</v>
      </c>
      <c r="H86" s="60">
        <v>46156</v>
      </c>
      <c r="I86" s="75">
        <v>46157</v>
      </c>
      <c r="J86" s="60"/>
      <c r="K86" s="74"/>
      <c r="L86" s="60">
        <v>46179</v>
      </c>
      <c r="M86" s="60">
        <v>46180</v>
      </c>
      <c r="N86" s="60">
        <v>46181</v>
      </c>
      <c r="O86" s="60">
        <v>46182</v>
      </c>
      <c r="P86" s="60">
        <v>46183</v>
      </c>
      <c r="Q86" s="60">
        <v>46184</v>
      </c>
      <c r="R86" s="75">
        <v>46185</v>
      </c>
      <c r="S86" s="60"/>
      <c r="T86" s="74"/>
      <c r="U86" s="60">
        <v>46214</v>
      </c>
      <c r="V86" s="60">
        <v>46215</v>
      </c>
      <c r="W86" s="60">
        <v>46216</v>
      </c>
      <c r="X86" s="60">
        <v>46217</v>
      </c>
      <c r="Y86" s="60">
        <v>46218</v>
      </c>
      <c r="Z86" s="60">
        <v>46219</v>
      </c>
      <c r="AA86" s="75">
        <v>46220</v>
      </c>
      <c r="AB86" s="60"/>
      <c r="AC86" s="74"/>
      <c r="AD86" s="60">
        <v>46242</v>
      </c>
      <c r="AE86" s="60">
        <v>46243</v>
      </c>
      <c r="AF86" s="60">
        <v>46244</v>
      </c>
      <c r="AG86" s="60">
        <v>46245</v>
      </c>
      <c r="AH86" s="60">
        <v>46246</v>
      </c>
      <c r="AI86" s="60">
        <v>46247</v>
      </c>
      <c r="AJ86" s="75">
        <v>46248</v>
      </c>
      <c r="AK86" s="60"/>
    </row>
    <row r="87" spans="2:37" ht="15.6" thickTop="1" thickBot="1">
      <c r="B87" s="77" t="s">
        <v>44</v>
      </c>
      <c r="C87" s="78"/>
      <c r="D87" s="72"/>
      <c r="E87" s="72"/>
      <c r="F87" s="72"/>
      <c r="G87" s="72"/>
      <c r="H87" s="72"/>
      <c r="I87" s="73"/>
      <c r="K87" s="77" t="s">
        <v>44</v>
      </c>
      <c r="L87" s="78"/>
      <c r="M87" s="72"/>
      <c r="N87" s="72"/>
      <c r="O87" s="72"/>
      <c r="P87" s="72"/>
      <c r="Q87" s="72"/>
      <c r="R87" s="73"/>
      <c r="T87" s="77" t="s">
        <v>44</v>
      </c>
      <c r="U87" s="78"/>
      <c r="V87" s="72"/>
      <c r="W87" s="72"/>
      <c r="X87" s="72"/>
      <c r="Y87" s="72"/>
      <c r="Z87" s="72"/>
      <c r="AA87" s="73"/>
      <c r="AC87" s="77" t="s">
        <v>44</v>
      </c>
      <c r="AD87" s="78"/>
      <c r="AE87" s="72"/>
      <c r="AF87" s="72"/>
      <c r="AG87" s="72"/>
      <c r="AH87" s="72"/>
      <c r="AI87" s="72"/>
      <c r="AJ87" s="73"/>
    </row>
    <row r="88" spans="2:37" ht="15.6" thickTop="1" thickBot="1">
      <c r="B88" s="82" t="s">
        <v>43</v>
      </c>
      <c r="C88" s="83"/>
      <c r="D88" s="84"/>
      <c r="E88" s="84"/>
      <c r="F88" s="84"/>
      <c r="G88" s="84"/>
      <c r="H88" s="84"/>
      <c r="I88" s="85"/>
      <c r="K88" s="82" t="s">
        <v>43</v>
      </c>
      <c r="L88" s="83"/>
      <c r="M88" s="84"/>
      <c r="N88" s="84"/>
      <c r="O88" s="84"/>
      <c r="P88" s="84"/>
      <c r="Q88" s="84"/>
      <c r="R88" s="85"/>
      <c r="T88" s="82" t="s">
        <v>43</v>
      </c>
      <c r="U88" s="83"/>
      <c r="V88" s="84"/>
      <c r="W88" s="84"/>
      <c r="X88" s="84"/>
      <c r="Y88" s="84"/>
      <c r="Z88" s="84"/>
      <c r="AA88" s="85"/>
      <c r="AC88" s="82" t="s">
        <v>43</v>
      </c>
      <c r="AD88" s="83"/>
      <c r="AE88" s="84"/>
      <c r="AF88" s="84"/>
      <c r="AG88" s="84"/>
      <c r="AH88" s="84"/>
      <c r="AI88" s="84"/>
      <c r="AJ88" s="85"/>
    </row>
    <row r="89" spans="2:37" ht="15" thickTop="1">
      <c r="B89" s="74" t="s">
        <v>14</v>
      </c>
      <c r="C89" s="61">
        <v>1</v>
      </c>
      <c r="D89" s="61">
        <v>1</v>
      </c>
      <c r="E89" s="61">
        <v>1</v>
      </c>
      <c r="F89" s="61">
        <v>1</v>
      </c>
      <c r="G89" s="61">
        <v>1</v>
      </c>
      <c r="H89" s="61">
        <v>1</v>
      </c>
      <c r="I89" s="76">
        <v>1</v>
      </c>
      <c r="K89" s="74" t="s">
        <v>14</v>
      </c>
      <c r="L89" s="61">
        <v>1</v>
      </c>
      <c r="M89" s="61">
        <v>1</v>
      </c>
      <c r="N89" s="61">
        <v>1</v>
      </c>
      <c r="O89" s="61">
        <v>1</v>
      </c>
      <c r="P89" s="61">
        <v>1</v>
      </c>
      <c r="Q89" s="61">
        <v>1</v>
      </c>
      <c r="R89" s="76">
        <v>1</v>
      </c>
      <c r="T89" s="74" t="s">
        <v>14</v>
      </c>
      <c r="U89" s="61">
        <v>1</v>
      </c>
      <c r="V89" s="61">
        <v>1</v>
      </c>
      <c r="W89" s="61">
        <v>1</v>
      </c>
      <c r="X89" s="61">
        <v>1</v>
      </c>
      <c r="Y89" s="61">
        <v>1</v>
      </c>
      <c r="Z89" s="61">
        <v>1</v>
      </c>
      <c r="AA89" s="76">
        <v>1</v>
      </c>
      <c r="AC89" s="74" t="s">
        <v>14</v>
      </c>
      <c r="AD89" s="61">
        <v>1</v>
      </c>
      <c r="AE89" s="61">
        <v>1</v>
      </c>
      <c r="AF89" s="61">
        <v>1</v>
      </c>
      <c r="AG89" s="61">
        <v>1</v>
      </c>
      <c r="AH89" s="61">
        <v>1</v>
      </c>
      <c r="AI89" s="61">
        <v>1</v>
      </c>
      <c r="AJ89" s="76">
        <v>1</v>
      </c>
    </row>
    <row r="90" spans="2:37" ht="15" thickBot="1">
      <c r="B90" s="79" t="s">
        <v>45</v>
      </c>
      <c r="C90" s="80">
        <v>1</v>
      </c>
      <c r="D90" s="80">
        <v>1</v>
      </c>
      <c r="E90" s="80">
        <v>1</v>
      </c>
      <c r="F90" s="80">
        <v>1</v>
      </c>
      <c r="G90" s="80">
        <v>1</v>
      </c>
      <c r="H90" s="80">
        <v>1</v>
      </c>
      <c r="I90" s="81">
        <v>3</v>
      </c>
      <c r="K90" s="79" t="s">
        <v>45</v>
      </c>
      <c r="L90" s="80">
        <v>1</v>
      </c>
      <c r="M90" s="80">
        <v>1</v>
      </c>
      <c r="N90" s="80">
        <v>1</v>
      </c>
      <c r="O90" s="80">
        <v>1</v>
      </c>
      <c r="P90" s="80">
        <v>1</v>
      </c>
      <c r="Q90" s="80">
        <v>1</v>
      </c>
      <c r="R90" s="81">
        <v>3</v>
      </c>
      <c r="T90" s="79" t="s">
        <v>45</v>
      </c>
      <c r="U90" s="80">
        <v>1</v>
      </c>
      <c r="V90" s="80">
        <v>1</v>
      </c>
      <c r="W90" s="80">
        <v>1</v>
      </c>
      <c r="X90" s="80">
        <v>1</v>
      </c>
      <c r="Y90" s="80">
        <v>1</v>
      </c>
      <c r="Z90" s="80">
        <v>1</v>
      </c>
      <c r="AA90" s="81">
        <v>3</v>
      </c>
      <c r="AC90" s="79" t="s">
        <v>45</v>
      </c>
      <c r="AD90" s="80">
        <v>1</v>
      </c>
      <c r="AE90" s="80">
        <v>1</v>
      </c>
      <c r="AF90" s="80">
        <v>1</v>
      </c>
      <c r="AG90" s="80">
        <v>1</v>
      </c>
      <c r="AH90" s="80">
        <v>1</v>
      </c>
      <c r="AI90" s="80">
        <v>1</v>
      </c>
      <c r="AJ90" s="81">
        <v>3</v>
      </c>
    </row>
    <row r="91" spans="2:37" ht="15.6" thickTop="1" thickBot="1">
      <c r="B91" s="79" t="s">
        <v>46</v>
      </c>
      <c r="C91" s="80"/>
      <c r="D91" s="80"/>
      <c r="E91" s="80"/>
      <c r="F91" s="80"/>
      <c r="G91" s="80"/>
      <c r="H91" s="80"/>
      <c r="I91" s="81"/>
      <c r="K91" s="79" t="s">
        <v>46</v>
      </c>
      <c r="L91" s="80"/>
      <c r="M91" s="80"/>
      <c r="N91" s="80"/>
      <c r="O91" s="80"/>
      <c r="P91" s="80"/>
      <c r="Q91" s="80"/>
      <c r="R91" s="81"/>
      <c r="T91" s="79" t="s">
        <v>46</v>
      </c>
      <c r="U91" s="80"/>
      <c r="V91" s="80"/>
      <c r="W91" s="80"/>
      <c r="X91" s="80"/>
      <c r="Y91" s="80"/>
      <c r="Z91" s="80"/>
      <c r="AA91" s="81"/>
      <c r="AC91" s="79" t="s">
        <v>46</v>
      </c>
      <c r="AD91" s="80"/>
      <c r="AE91" s="80"/>
      <c r="AF91" s="80"/>
      <c r="AG91" s="80"/>
      <c r="AH91" s="80"/>
      <c r="AI91" s="80"/>
      <c r="AJ91" s="81"/>
    </row>
    <row r="92" spans="2:37" ht="15.6" thickTop="1" thickBot="1"/>
    <row r="93" spans="2:37" ht="15" thickTop="1">
      <c r="B93" s="71"/>
      <c r="C93" s="72" t="s">
        <v>36</v>
      </c>
      <c r="D93" s="72" t="s">
        <v>37</v>
      </c>
      <c r="E93" s="72" t="s">
        <v>38</v>
      </c>
      <c r="F93" s="72" t="s">
        <v>39</v>
      </c>
      <c r="G93" s="72" t="s">
        <v>40</v>
      </c>
      <c r="H93" s="72" t="s">
        <v>41</v>
      </c>
      <c r="I93" s="86" t="s">
        <v>42</v>
      </c>
      <c r="K93" s="71"/>
      <c r="L93" s="72" t="s">
        <v>36</v>
      </c>
      <c r="M93" s="72" t="s">
        <v>37</v>
      </c>
      <c r="N93" s="72" t="s">
        <v>38</v>
      </c>
      <c r="O93" s="72" t="s">
        <v>39</v>
      </c>
      <c r="P93" s="72" t="s">
        <v>40</v>
      </c>
      <c r="Q93" s="72" t="s">
        <v>41</v>
      </c>
      <c r="R93" s="86" t="s">
        <v>42</v>
      </c>
      <c r="T93" s="71"/>
      <c r="U93" s="72" t="s">
        <v>36</v>
      </c>
      <c r="V93" s="72" t="s">
        <v>37</v>
      </c>
      <c r="W93" s="72" t="s">
        <v>38</v>
      </c>
      <c r="X93" s="72" t="s">
        <v>39</v>
      </c>
      <c r="Y93" s="72" t="s">
        <v>40</v>
      </c>
      <c r="Z93" s="72" t="s">
        <v>41</v>
      </c>
      <c r="AA93" s="86" t="s">
        <v>42</v>
      </c>
      <c r="AC93" s="71"/>
      <c r="AD93" s="72" t="s">
        <v>36</v>
      </c>
      <c r="AE93" s="72" t="s">
        <v>37</v>
      </c>
      <c r="AF93" s="72" t="s">
        <v>38</v>
      </c>
      <c r="AG93" s="72" t="s">
        <v>39</v>
      </c>
      <c r="AH93" s="72" t="s">
        <v>40</v>
      </c>
      <c r="AI93" s="72" t="s">
        <v>41</v>
      </c>
      <c r="AJ93" s="86" t="s">
        <v>42</v>
      </c>
    </row>
    <row r="94" spans="2:37" ht="15" thickBot="1">
      <c r="B94" s="74"/>
      <c r="C94" s="60">
        <v>46158</v>
      </c>
      <c r="D94" s="60">
        <v>46159</v>
      </c>
      <c r="E94" s="60">
        <v>46160</v>
      </c>
      <c r="F94" s="60">
        <v>46161</v>
      </c>
      <c r="G94" s="60">
        <v>46162</v>
      </c>
      <c r="H94" s="60">
        <v>46163</v>
      </c>
      <c r="I94" s="75">
        <v>46164</v>
      </c>
      <c r="J94" s="60"/>
      <c r="K94" s="74"/>
      <c r="L94" s="60">
        <v>46186</v>
      </c>
      <c r="M94" s="60">
        <v>46187</v>
      </c>
      <c r="N94" s="60">
        <v>46188</v>
      </c>
      <c r="O94" s="60">
        <v>46189</v>
      </c>
      <c r="P94" s="60">
        <v>46190</v>
      </c>
      <c r="Q94" s="60">
        <v>46191</v>
      </c>
      <c r="R94" s="75">
        <v>46192</v>
      </c>
      <c r="S94" s="60"/>
      <c r="T94" s="74"/>
      <c r="U94" s="60">
        <v>46221</v>
      </c>
      <c r="V94" s="60">
        <v>46222</v>
      </c>
      <c r="W94" s="60">
        <v>46223</v>
      </c>
      <c r="X94" s="60">
        <v>46224</v>
      </c>
      <c r="Y94" s="60">
        <v>46225</v>
      </c>
      <c r="Z94" s="60">
        <v>46226</v>
      </c>
      <c r="AA94" s="75">
        <v>46227</v>
      </c>
      <c r="AB94" s="60"/>
      <c r="AC94" s="74"/>
      <c r="AD94" s="60">
        <v>46249</v>
      </c>
      <c r="AE94" s="60">
        <v>46250</v>
      </c>
      <c r="AF94" s="60">
        <v>46251</v>
      </c>
      <c r="AG94" s="60">
        <v>46252</v>
      </c>
      <c r="AH94" s="60">
        <v>46253</v>
      </c>
      <c r="AI94" s="60">
        <v>46254</v>
      </c>
      <c r="AJ94" s="75">
        <v>46255</v>
      </c>
      <c r="AK94" s="60"/>
    </row>
    <row r="95" spans="2:37" ht="15.6" thickTop="1" thickBot="1">
      <c r="B95" s="77" t="s">
        <v>44</v>
      </c>
      <c r="C95" s="78"/>
      <c r="D95" s="72"/>
      <c r="E95" s="72"/>
      <c r="F95" s="72"/>
      <c r="G95" s="72"/>
      <c r="H95" s="72"/>
      <c r="I95" s="73"/>
      <c r="K95" s="77" t="s">
        <v>44</v>
      </c>
      <c r="L95" s="78"/>
      <c r="M95" s="72"/>
      <c r="N95" s="72"/>
      <c r="O95" s="72"/>
      <c r="P95" s="72"/>
      <c r="Q95" s="72"/>
      <c r="R95" s="73"/>
      <c r="T95" s="77" t="s">
        <v>44</v>
      </c>
      <c r="U95" s="78"/>
      <c r="V95" s="72"/>
      <c r="W95" s="72"/>
      <c r="X95" s="72"/>
      <c r="Y95" s="72"/>
      <c r="Z95" s="72"/>
      <c r="AA95" s="73"/>
      <c r="AC95" s="77" t="s">
        <v>44</v>
      </c>
      <c r="AD95" s="78"/>
      <c r="AE95" s="72"/>
      <c r="AF95" s="72"/>
      <c r="AG95" s="72"/>
      <c r="AH95" s="72"/>
      <c r="AI95" s="72"/>
      <c r="AJ95" s="73"/>
    </row>
    <row r="96" spans="2:37" ht="15.6" thickTop="1" thickBot="1">
      <c r="B96" s="82" t="s">
        <v>43</v>
      </c>
      <c r="C96" s="83"/>
      <c r="D96" s="84"/>
      <c r="E96" s="84"/>
      <c r="F96" s="84"/>
      <c r="G96" s="84"/>
      <c r="H96" s="84"/>
      <c r="I96" s="85"/>
      <c r="K96" s="82" t="s">
        <v>43</v>
      </c>
      <c r="L96" s="83"/>
      <c r="M96" s="84"/>
      <c r="N96" s="84"/>
      <c r="O96" s="84"/>
      <c r="P96" s="84"/>
      <c r="Q96" s="84"/>
      <c r="R96" s="85"/>
      <c r="T96" s="82" t="s">
        <v>43</v>
      </c>
      <c r="U96" s="83"/>
      <c r="V96" s="84"/>
      <c r="W96" s="84"/>
      <c r="X96" s="84"/>
      <c r="Y96" s="84"/>
      <c r="Z96" s="84"/>
      <c r="AA96" s="85"/>
      <c r="AC96" s="82" t="s">
        <v>43</v>
      </c>
      <c r="AD96" s="83"/>
      <c r="AE96" s="84"/>
      <c r="AF96" s="84"/>
      <c r="AG96" s="84"/>
      <c r="AH96" s="84"/>
      <c r="AI96" s="84"/>
      <c r="AJ96" s="85"/>
    </row>
    <row r="97" spans="2:37" ht="15" thickTop="1">
      <c r="B97" s="74" t="s">
        <v>14</v>
      </c>
      <c r="C97" s="61">
        <v>1</v>
      </c>
      <c r="D97" s="61">
        <v>1</v>
      </c>
      <c r="E97" s="61">
        <v>1</v>
      </c>
      <c r="F97" s="61">
        <v>1</v>
      </c>
      <c r="G97" s="61">
        <v>1</v>
      </c>
      <c r="H97" s="61">
        <v>1</v>
      </c>
      <c r="I97" s="76">
        <v>1</v>
      </c>
      <c r="K97" s="74" t="s">
        <v>14</v>
      </c>
      <c r="L97" s="61">
        <v>1</v>
      </c>
      <c r="M97" s="61">
        <v>1</v>
      </c>
      <c r="N97" s="61">
        <v>1</v>
      </c>
      <c r="O97" s="61">
        <v>1</v>
      </c>
      <c r="P97" s="61">
        <v>1</v>
      </c>
      <c r="Q97" s="61">
        <v>1</v>
      </c>
      <c r="R97" s="76">
        <v>1</v>
      </c>
      <c r="T97" s="74" t="s">
        <v>14</v>
      </c>
      <c r="U97" s="61">
        <v>1</v>
      </c>
      <c r="V97" s="61">
        <v>1</v>
      </c>
      <c r="W97" s="61">
        <v>1</v>
      </c>
      <c r="X97" s="61">
        <v>1</v>
      </c>
      <c r="Y97" s="61">
        <v>1</v>
      </c>
      <c r="Z97" s="61">
        <v>1</v>
      </c>
      <c r="AA97" s="76">
        <v>1</v>
      </c>
      <c r="AC97" s="74" t="s">
        <v>14</v>
      </c>
      <c r="AD97" s="61">
        <v>1</v>
      </c>
      <c r="AE97" s="61">
        <v>1</v>
      </c>
      <c r="AF97" s="61">
        <v>1</v>
      </c>
      <c r="AG97" s="61">
        <v>1</v>
      </c>
      <c r="AH97" s="61">
        <v>1</v>
      </c>
      <c r="AI97" s="61">
        <v>1</v>
      </c>
      <c r="AJ97" s="76">
        <v>1</v>
      </c>
    </row>
    <row r="98" spans="2:37" ht="15" thickBot="1">
      <c r="B98" s="79" t="s">
        <v>45</v>
      </c>
      <c r="C98" s="80">
        <v>1</v>
      </c>
      <c r="D98" s="80">
        <v>1</v>
      </c>
      <c r="E98" s="80">
        <v>1</v>
      </c>
      <c r="F98" s="80">
        <v>1</v>
      </c>
      <c r="G98" s="80">
        <v>1</v>
      </c>
      <c r="H98" s="80">
        <v>1</v>
      </c>
      <c r="I98" s="81">
        <v>3</v>
      </c>
      <c r="K98" s="79" t="s">
        <v>45</v>
      </c>
      <c r="L98" s="80">
        <v>1</v>
      </c>
      <c r="M98" s="80">
        <v>1</v>
      </c>
      <c r="N98" s="80">
        <v>1</v>
      </c>
      <c r="O98" s="80">
        <v>1</v>
      </c>
      <c r="P98" s="80">
        <v>1</v>
      </c>
      <c r="Q98" s="80">
        <v>1</v>
      </c>
      <c r="R98" s="81">
        <v>3</v>
      </c>
      <c r="T98" s="79" t="s">
        <v>45</v>
      </c>
      <c r="U98" s="80">
        <v>1</v>
      </c>
      <c r="V98" s="80">
        <v>1</v>
      </c>
      <c r="W98" s="80">
        <v>1</v>
      </c>
      <c r="X98" s="80">
        <v>1</v>
      </c>
      <c r="Y98" s="80">
        <v>1</v>
      </c>
      <c r="Z98" s="80">
        <v>1</v>
      </c>
      <c r="AA98" s="81">
        <v>3</v>
      </c>
      <c r="AC98" s="79" t="s">
        <v>45</v>
      </c>
      <c r="AD98" s="80">
        <v>1</v>
      </c>
      <c r="AE98" s="80">
        <v>1</v>
      </c>
      <c r="AF98" s="80">
        <v>1</v>
      </c>
      <c r="AG98" s="80">
        <v>1</v>
      </c>
      <c r="AH98" s="80">
        <v>1</v>
      </c>
      <c r="AI98" s="80">
        <v>1</v>
      </c>
      <c r="AJ98" s="81">
        <v>3</v>
      </c>
    </row>
    <row r="99" spans="2:37" ht="15.6" thickTop="1" thickBot="1">
      <c r="B99" s="79" t="s">
        <v>46</v>
      </c>
      <c r="C99" s="80"/>
      <c r="D99" s="80"/>
      <c r="E99" s="80"/>
      <c r="F99" s="80"/>
      <c r="G99" s="80"/>
      <c r="H99" s="80"/>
      <c r="I99" s="81"/>
      <c r="K99" s="79" t="s">
        <v>46</v>
      </c>
      <c r="L99" s="80"/>
      <c r="M99" s="80"/>
      <c r="N99" s="80"/>
      <c r="O99" s="80"/>
      <c r="P99" s="80"/>
      <c r="Q99" s="80"/>
      <c r="R99" s="81"/>
      <c r="T99" s="79" t="s">
        <v>46</v>
      </c>
      <c r="U99" s="80"/>
      <c r="V99" s="80"/>
      <c r="W99" s="80"/>
      <c r="X99" s="80"/>
      <c r="Y99" s="80"/>
      <c r="Z99" s="80"/>
      <c r="AA99" s="81"/>
      <c r="AC99" s="79" t="s">
        <v>46</v>
      </c>
      <c r="AD99" s="80"/>
      <c r="AE99" s="80"/>
      <c r="AF99" s="80"/>
      <c r="AG99" s="80"/>
      <c r="AH99" s="80"/>
      <c r="AI99" s="80"/>
      <c r="AJ99" s="81"/>
    </row>
    <row r="100" spans="2:37" ht="15.6" thickTop="1" thickBot="1"/>
    <row r="101" spans="2:37" ht="15" thickTop="1">
      <c r="B101" s="71"/>
      <c r="C101" s="72" t="s">
        <v>36</v>
      </c>
      <c r="D101" s="72" t="s">
        <v>37</v>
      </c>
      <c r="E101" s="72" t="s">
        <v>38</v>
      </c>
      <c r="F101" s="72" t="s">
        <v>39</v>
      </c>
      <c r="G101" s="72" t="s">
        <v>40</v>
      </c>
      <c r="H101" s="72" t="s">
        <v>41</v>
      </c>
      <c r="I101" s="86" t="s">
        <v>42</v>
      </c>
      <c r="J101" s="60"/>
      <c r="K101" s="71"/>
      <c r="L101" s="72" t="s">
        <v>36</v>
      </c>
      <c r="M101" s="72" t="s">
        <v>37</v>
      </c>
      <c r="N101" s="72" t="s">
        <v>38</v>
      </c>
      <c r="O101" s="72" t="s">
        <v>39</v>
      </c>
      <c r="P101" s="72" t="s">
        <v>40</v>
      </c>
      <c r="Q101" s="72" t="s">
        <v>41</v>
      </c>
      <c r="R101" s="86" t="s">
        <v>42</v>
      </c>
      <c r="T101" s="71"/>
      <c r="U101" s="72" t="s">
        <v>36</v>
      </c>
      <c r="V101" s="72" t="s">
        <v>37</v>
      </c>
      <c r="W101" s="72" t="s">
        <v>38</v>
      </c>
      <c r="X101" s="72" t="s">
        <v>39</v>
      </c>
      <c r="Y101" s="72" t="s">
        <v>40</v>
      </c>
      <c r="Z101" s="72" t="s">
        <v>41</v>
      </c>
      <c r="AA101" s="86" t="s">
        <v>42</v>
      </c>
      <c r="AC101" s="71"/>
      <c r="AD101" s="72" t="s">
        <v>36</v>
      </c>
      <c r="AE101" s="72" t="s">
        <v>37</v>
      </c>
      <c r="AF101" s="72" t="s">
        <v>38</v>
      </c>
      <c r="AG101" s="72" t="s">
        <v>39</v>
      </c>
      <c r="AH101" s="72" t="s">
        <v>40</v>
      </c>
      <c r="AI101" s="72" t="s">
        <v>41</v>
      </c>
      <c r="AJ101" s="86" t="s">
        <v>42</v>
      </c>
    </row>
    <row r="102" spans="2:37" ht="15" thickBot="1">
      <c r="B102" s="74"/>
      <c r="C102" s="60">
        <v>46165</v>
      </c>
      <c r="D102" s="60">
        <v>46166</v>
      </c>
      <c r="E102" s="60">
        <v>46167</v>
      </c>
      <c r="F102" s="60">
        <v>46168</v>
      </c>
      <c r="G102" s="60"/>
      <c r="H102" s="60"/>
      <c r="I102" s="75"/>
      <c r="K102" s="74"/>
      <c r="L102" s="60">
        <v>46193</v>
      </c>
      <c r="M102" s="60">
        <v>46194</v>
      </c>
      <c r="N102" s="60">
        <v>46195</v>
      </c>
      <c r="O102" s="60">
        <v>46196</v>
      </c>
      <c r="P102" s="60">
        <v>46197</v>
      </c>
      <c r="Q102" s="60">
        <v>46198</v>
      </c>
      <c r="R102" s="75">
        <v>46199</v>
      </c>
      <c r="T102" s="74"/>
      <c r="U102" s="60">
        <v>46228</v>
      </c>
      <c r="V102" s="60">
        <v>46229</v>
      </c>
      <c r="W102" s="60"/>
      <c r="X102" s="60"/>
      <c r="Y102" s="60"/>
      <c r="Z102" s="60"/>
      <c r="AA102" s="75"/>
      <c r="AC102" s="74"/>
      <c r="AD102" s="60">
        <v>46256</v>
      </c>
      <c r="AE102" s="60">
        <v>46257</v>
      </c>
      <c r="AF102" s="60">
        <v>46258</v>
      </c>
      <c r="AG102" s="60">
        <v>46259</v>
      </c>
      <c r="AH102" s="60">
        <v>46260</v>
      </c>
      <c r="AI102" s="60"/>
      <c r="AJ102" s="75"/>
      <c r="AK102" s="60"/>
    </row>
    <row r="103" spans="2:37" ht="15.6" thickTop="1" thickBot="1">
      <c r="B103" s="77" t="s">
        <v>44</v>
      </c>
      <c r="C103" s="78"/>
      <c r="D103" s="72"/>
      <c r="E103" s="72"/>
      <c r="F103" s="72"/>
      <c r="G103" s="72"/>
      <c r="H103" s="72"/>
      <c r="I103" s="73"/>
      <c r="K103" s="77" t="s">
        <v>44</v>
      </c>
      <c r="L103" s="78"/>
      <c r="M103" s="72"/>
      <c r="N103" s="72"/>
      <c r="O103" s="72"/>
      <c r="P103" s="72"/>
      <c r="Q103" s="72"/>
      <c r="R103" s="73"/>
      <c r="T103" s="77" t="s">
        <v>44</v>
      </c>
      <c r="U103" s="78"/>
      <c r="V103" s="72"/>
      <c r="W103" s="72"/>
      <c r="X103" s="72"/>
      <c r="Y103" s="72"/>
      <c r="Z103" s="72"/>
      <c r="AA103" s="73"/>
      <c r="AC103" s="77" t="s">
        <v>44</v>
      </c>
      <c r="AD103" s="78"/>
      <c r="AE103" s="72"/>
      <c r="AF103" s="72"/>
      <c r="AG103" s="72"/>
      <c r="AH103" s="72"/>
      <c r="AI103" s="72"/>
      <c r="AJ103" s="73"/>
    </row>
    <row r="104" spans="2:37" ht="15.6" thickTop="1" thickBot="1">
      <c r="B104" s="82" t="s">
        <v>43</v>
      </c>
      <c r="C104" s="83"/>
      <c r="D104" s="84"/>
      <c r="E104" s="84"/>
      <c r="F104" s="84"/>
      <c r="G104" s="84"/>
      <c r="H104" s="84"/>
      <c r="I104" s="85"/>
      <c r="K104" s="82" t="s">
        <v>43</v>
      </c>
      <c r="L104" s="83"/>
      <c r="M104" s="84"/>
      <c r="N104" s="84"/>
      <c r="O104" s="84"/>
      <c r="P104" s="84"/>
      <c r="Q104" s="84"/>
      <c r="R104" s="85"/>
      <c r="T104" s="82" t="s">
        <v>43</v>
      </c>
      <c r="U104" s="83"/>
      <c r="V104" s="84"/>
      <c r="W104" s="84"/>
      <c r="X104" s="84"/>
      <c r="Y104" s="84"/>
      <c r="Z104" s="84"/>
      <c r="AA104" s="85"/>
      <c r="AC104" s="82" t="s">
        <v>43</v>
      </c>
      <c r="AD104" s="83"/>
      <c r="AE104" s="84"/>
      <c r="AF104" s="84"/>
      <c r="AG104" s="84"/>
      <c r="AH104" s="84"/>
      <c r="AI104" s="84"/>
      <c r="AJ104" s="85"/>
    </row>
    <row r="105" spans="2:37" ht="15" thickTop="1">
      <c r="B105" s="74" t="s">
        <v>14</v>
      </c>
      <c r="C105" s="61">
        <v>1</v>
      </c>
      <c r="D105" s="61">
        <v>1</v>
      </c>
      <c r="E105" s="61">
        <v>1</v>
      </c>
      <c r="F105" s="61">
        <v>1</v>
      </c>
      <c r="G105" s="61"/>
      <c r="H105" s="61"/>
      <c r="I105" s="76"/>
      <c r="K105" s="74" t="s">
        <v>14</v>
      </c>
      <c r="L105" s="61">
        <v>1</v>
      </c>
      <c r="M105" s="61">
        <v>1</v>
      </c>
      <c r="N105" s="61">
        <v>1</v>
      </c>
      <c r="O105" s="61">
        <v>1</v>
      </c>
      <c r="P105" s="61">
        <v>1</v>
      </c>
      <c r="Q105" s="61">
        <v>1</v>
      </c>
      <c r="R105" s="76">
        <v>1</v>
      </c>
      <c r="T105" s="74" t="s">
        <v>14</v>
      </c>
      <c r="U105" s="61">
        <v>1</v>
      </c>
      <c r="V105" s="61">
        <v>1</v>
      </c>
      <c r="W105" s="61"/>
      <c r="X105" s="61"/>
      <c r="Y105" s="61"/>
      <c r="Z105" s="61"/>
      <c r="AA105" s="76"/>
      <c r="AC105" s="74" t="s">
        <v>14</v>
      </c>
      <c r="AD105" s="61">
        <v>1</v>
      </c>
      <c r="AE105" s="61">
        <v>1</v>
      </c>
      <c r="AF105" s="61">
        <v>1</v>
      </c>
      <c r="AG105" s="61">
        <v>1</v>
      </c>
      <c r="AH105" s="61">
        <v>1</v>
      </c>
      <c r="AI105" s="61"/>
      <c r="AJ105" s="76"/>
    </row>
    <row r="106" spans="2:37" ht="15" thickBot="1">
      <c r="B106" s="79" t="s">
        <v>45</v>
      </c>
      <c r="C106" s="80">
        <v>1</v>
      </c>
      <c r="D106" s="80">
        <v>1</v>
      </c>
      <c r="E106" s="80">
        <v>1</v>
      </c>
      <c r="F106" s="80">
        <v>1</v>
      </c>
      <c r="G106" s="80"/>
      <c r="H106" s="80"/>
      <c r="I106" s="81"/>
      <c r="K106" s="79" t="s">
        <v>45</v>
      </c>
      <c r="L106" s="80">
        <v>1</v>
      </c>
      <c r="M106" s="80">
        <v>1</v>
      </c>
      <c r="N106" s="80">
        <v>1</v>
      </c>
      <c r="O106" s="80">
        <v>1</v>
      </c>
      <c r="P106" s="80">
        <v>1</v>
      </c>
      <c r="Q106" s="80">
        <v>1</v>
      </c>
      <c r="R106" s="81">
        <v>3</v>
      </c>
      <c r="T106" s="79" t="s">
        <v>45</v>
      </c>
      <c r="U106" s="80">
        <v>1</v>
      </c>
      <c r="V106" s="80">
        <v>1</v>
      </c>
      <c r="W106" s="80"/>
      <c r="X106" s="80"/>
      <c r="Y106" s="80"/>
      <c r="Z106" s="80"/>
      <c r="AA106" s="81"/>
      <c r="AC106" s="79" t="s">
        <v>45</v>
      </c>
      <c r="AD106" s="80">
        <v>1</v>
      </c>
      <c r="AE106" s="80">
        <v>1</v>
      </c>
      <c r="AF106" s="80">
        <v>1</v>
      </c>
      <c r="AG106" s="80">
        <v>1</v>
      </c>
      <c r="AH106" s="80">
        <v>1</v>
      </c>
      <c r="AI106" s="80"/>
      <c r="AJ106" s="81"/>
    </row>
    <row r="107" spans="2:37" ht="15.6" thickTop="1" thickBot="1">
      <c r="B107" s="79" t="s">
        <v>46</v>
      </c>
      <c r="C107" s="80"/>
      <c r="D107" s="80"/>
      <c r="E107" s="80"/>
      <c r="F107" s="80"/>
      <c r="G107" s="80"/>
      <c r="H107" s="80"/>
      <c r="I107" s="81"/>
      <c r="K107" s="79" t="s">
        <v>46</v>
      </c>
      <c r="L107" s="80"/>
      <c r="M107" s="80"/>
      <c r="N107" s="80"/>
      <c r="O107" s="80"/>
      <c r="P107" s="80"/>
      <c r="Q107" s="80"/>
      <c r="R107" s="81"/>
      <c r="T107" s="79" t="s">
        <v>46</v>
      </c>
      <c r="U107" s="80"/>
      <c r="V107" s="80"/>
      <c r="W107" s="80"/>
      <c r="X107" s="80"/>
      <c r="Y107" s="80"/>
      <c r="Z107" s="80"/>
      <c r="AA107" s="81"/>
      <c r="AC107" s="79" t="s">
        <v>46</v>
      </c>
      <c r="AD107" s="80"/>
      <c r="AE107" s="80"/>
      <c r="AF107" s="80"/>
      <c r="AG107" s="80"/>
      <c r="AH107" s="80"/>
      <c r="AI107" s="80"/>
      <c r="AJ107" s="81"/>
    </row>
    <row r="108" spans="2:37" ht="15.6" thickTop="1" thickBot="1"/>
    <row r="109" spans="2:37" ht="15" thickTop="1">
      <c r="B109" s="71"/>
      <c r="C109" s="72" t="s">
        <v>36</v>
      </c>
      <c r="D109" s="72" t="s">
        <v>37</v>
      </c>
      <c r="E109" s="72" t="s">
        <v>38</v>
      </c>
      <c r="F109" s="72" t="s">
        <v>39</v>
      </c>
      <c r="G109" s="72" t="s">
        <v>40</v>
      </c>
      <c r="H109" s="72" t="s">
        <v>41</v>
      </c>
      <c r="I109" s="86" t="s">
        <v>42</v>
      </c>
      <c r="J109" s="60"/>
      <c r="K109" s="71"/>
      <c r="L109" s="72" t="s">
        <v>36</v>
      </c>
      <c r="M109" s="72" t="s">
        <v>37</v>
      </c>
      <c r="N109" s="72" t="s">
        <v>38</v>
      </c>
      <c r="O109" s="72" t="s">
        <v>39</v>
      </c>
      <c r="P109" s="72" t="s">
        <v>40</v>
      </c>
      <c r="Q109" s="72" t="s">
        <v>41</v>
      </c>
      <c r="R109" s="86" t="s">
        <v>42</v>
      </c>
      <c r="T109" s="71"/>
      <c r="U109" s="72" t="s">
        <v>36</v>
      </c>
      <c r="V109" s="72" t="s">
        <v>37</v>
      </c>
      <c r="W109" s="72" t="s">
        <v>38</v>
      </c>
      <c r="X109" s="72" t="s">
        <v>39</v>
      </c>
      <c r="Y109" s="72" t="s">
        <v>40</v>
      </c>
      <c r="Z109" s="72" t="s">
        <v>41</v>
      </c>
      <c r="AA109" s="86" t="s">
        <v>42</v>
      </c>
      <c r="AC109" s="71"/>
      <c r="AD109" s="72" t="s">
        <v>36</v>
      </c>
      <c r="AE109" s="72" t="s">
        <v>37</v>
      </c>
      <c r="AF109" s="72" t="s">
        <v>38</v>
      </c>
      <c r="AG109" s="72" t="s">
        <v>39</v>
      </c>
      <c r="AH109" s="72" t="s">
        <v>40</v>
      </c>
      <c r="AI109" s="72" t="s">
        <v>41</v>
      </c>
      <c r="AJ109" s="86" t="s">
        <v>42</v>
      </c>
    </row>
    <row r="110" spans="2:37" ht="15" thickBot="1">
      <c r="B110" s="74"/>
      <c r="C110" s="60"/>
      <c r="D110" s="60"/>
      <c r="E110" s="60"/>
      <c r="F110" s="60"/>
      <c r="G110" s="60"/>
      <c r="H110" s="60"/>
      <c r="I110" s="75"/>
      <c r="K110" s="74"/>
      <c r="L110" s="60">
        <v>46074</v>
      </c>
      <c r="M110" s="60">
        <v>46075</v>
      </c>
      <c r="N110" s="60">
        <v>46076</v>
      </c>
      <c r="O110" s="60">
        <v>46077</v>
      </c>
      <c r="P110" s="60">
        <v>46078</v>
      </c>
      <c r="Q110" s="60">
        <v>46079</v>
      </c>
      <c r="R110" s="75"/>
      <c r="T110" s="74"/>
      <c r="U110" s="60">
        <v>46102</v>
      </c>
      <c r="V110" s="60">
        <v>46103</v>
      </c>
      <c r="W110" s="60">
        <v>46104</v>
      </c>
      <c r="X110" s="60">
        <v>46105</v>
      </c>
      <c r="Y110" s="60">
        <v>46106</v>
      </c>
      <c r="Z110" s="60">
        <v>46107</v>
      </c>
      <c r="AA110" s="75"/>
      <c r="AC110" s="74"/>
      <c r="AD110" s="60">
        <v>46137</v>
      </c>
      <c r="AE110" s="60">
        <v>46138</v>
      </c>
      <c r="AF110" s="60"/>
      <c r="AG110" s="60"/>
      <c r="AH110" s="60"/>
      <c r="AI110" s="60"/>
      <c r="AJ110" s="75"/>
    </row>
    <row r="111" spans="2:37" ht="15.6" thickTop="1" thickBot="1">
      <c r="B111" s="77" t="s">
        <v>44</v>
      </c>
      <c r="C111" s="78"/>
      <c r="D111" s="72"/>
      <c r="E111" s="72"/>
      <c r="F111" s="72"/>
      <c r="G111" s="72"/>
      <c r="H111" s="72"/>
      <c r="I111" s="73"/>
      <c r="K111" s="77" t="s">
        <v>44</v>
      </c>
      <c r="L111" s="78"/>
      <c r="M111" s="72"/>
      <c r="N111" s="72"/>
      <c r="O111" s="72"/>
      <c r="P111" s="72"/>
      <c r="Q111" s="72"/>
      <c r="R111" s="73"/>
      <c r="T111" s="77" t="s">
        <v>44</v>
      </c>
      <c r="U111" s="78"/>
      <c r="V111" s="72"/>
      <c r="W111" s="72"/>
      <c r="X111" s="72"/>
      <c r="Y111" s="72"/>
      <c r="Z111" s="72"/>
      <c r="AA111" s="73"/>
      <c r="AC111" s="77" t="s">
        <v>44</v>
      </c>
      <c r="AD111" s="78"/>
      <c r="AE111" s="72"/>
      <c r="AF111" s="72"/>
      <c r="AG111" s="72"/>
      <c r="AH111" s="72"/>
      <c r="AI111" s="72"/>
      <c r="AJ111" s="73"/>
    </row>
    <row r="112" spans="2:37" ht="15.6" thickTop="1" thickBot="1">
      <c r="B112" s="82" t="s">
        <v>43</v>
      </c>
      <c r="C112" s="83"/>
      <c r="D112" s="84"/>
      <c r="E112" s="84"/>
      <c r="F112" s="84"/>
      <c r="G112" s="84"/>
      <c r="H112" s="84"/>
      <c r="I112" s="85"/>
      <c r="K112" s="82" t="s">
        <v>43</v>
      </c>
      <c r="L112" s="83"/>
      <c r="M112" s="84"/>
      <c r="N112" s="84"/>
      <c r="O112" s="84"/>
      <c r="P112" s="84"/>
      <c r="Q112" s="84"/>
      <c r="R112" s="85"/>
      <c r="T112" s="82" t="s">
        <v>43</v>
      </c>
      <c r="U112" s="83"/>
      <c r="V112" s="84"/>
      <c r="W112" s="84"/>
      <c r="X112" s="84"/>
      <c r="Y112" s="84"/>
      <c r="Z112" s="84"/>
      <c r="AA112" s="85"/>
      <c r="AC112" s="82" t="s">
        <v>43</v>
      </c>
      <c r="AD112" s="83"/>
      <c r="AE112" s="84"/>
      <c r="AF112" s="84"/>
      <c r="AG112" s="84"/>
      <c r="AH112" s="84"/>
      <c r="AI112" s="84"/>
      <c r="AJ112" s="85"/>
    </row>
    <row r="113" spans="2:36" ht="15" thickTop="1">
      <c r="B113" s="74" t="s">
        <v>14</v>
      </c>
      <c r="C113" s="61"/>
      <c r="D113" s="61"/>
      <c r="E113" s="61"/>
      <c r="F113" s="61"/>
      <c r="G113" s="61"/>
      <c r="H113" s="61"/>
      <c r="I113" s="76"/>
      <c r="K113" s="74" t="s">
        <v>14</v>
      </c>
      <c r="L113" s="61"/>
      <c r="M113" s="61"/>
      <c r="N113" s="61"/>
      <c r="O113" s="61"/>
      <c r="P113" s="61"/>
      <c r="Q113" s="61"/>
      <c r="R113" s="76"/>
      <c r="T113" s="74" t="s">
        <v>14</v>
      </c>
      <c r="U113" s="61"/>
      <c r="V113" s="61"/>
      <c r="W113" s="61"/>
      <c r="X113" s="61"/>
      <c r="Y113" s="61"/>
      <c r="Z113" s="61"/>
      <c r="AA113" s="76"/>
      <c r="AC113" s="74" t="s">
        <v>14</v>
      </c>
      <c r="AD113" s="61">
        <v>1</v>
      </c>
      <c r="AE113" s="61">
        <v>1</v>
      </c>
      <c r="AF113" s="61"/>
      <c r="AG113" s="61"/>
      <c r="AH113" s="61"/>
      <c r="AI113" s="61"/>
      <c r="AJ113" s="76"/>
    </row>
    <row r="114" spans="2:36" ht="15" thickBot="1">
      <c r="B114" s="79" t="s">
        <v>45</v>
      </c>
      <c r="C114" s="80"/>
      <c r="D114" s="80"/>
      <c r="E114" s="80"/>
      <c r="F114" s="80"/>
      <c r="G114" s="80"/>
      <c r="H114" s="80"/>
      <c r="I114" s="81"/>
      <c r="K114" s="79" t="s">
        <v>45</v>
      </c>
      <c r="L114" s="80"/>
      <c r="M114" s="80"/>
      <c r="N114" s="80"/>
      <c r="O114" s="80"/>
      <c r="P114" s="80"/>
      <c r="Q114" s="80"/>
      <c r="R114" s="81"/>
      <c r="T114" s="79" t="s">
        <v>45</v>
      </c>
      <c r="U114" s="80"/>
      <c r="V114" s="80"/>
      <c r="W114" s="80"/>
      <c r="X114" s="80"/>
      <c r="Y114" s="80"/>
      <c r="Z114" s="80"/>
      <c r="AA114" s="81"/>
      <c r="AC114" s="79" t="s">
        <v>45</v>
      </c>
      <c r="AD114" s="80">
        <v>1</v>
      </c>
      <c r="AE114" s="80">
        <v>1</v>
      </c>
      <c r="AF114" s="80"/>
      <c r="AG114" s="80"/>
      <c r="AH114" s="80"/>
      <c r="AI114" s="80"/>
      <c r="AJ114" s="81"/>
    </row>
    <row r="115" spans="2:36" ht="15.6" thickTop="1" thickBot="1">
      <c r="B115" s="79" t="s">
        <v>46</v>
      </c>
      <c r="C115" s="80"/>
      <c r="D115" s="80"/>
      <c r="E115" s="80"/>
      <c r="F115" s="80"/>
      <c r="G115" s="80"/>
      <c r="H115" s="80"/>
      <c r="I115" s="81"/>
      <c r="K115" s="79" t="s">
        <v>46</v>
      </c>
      <c r="L115" s="80"/>
      <c r="M115" s="80"/>
      <c r="N115" s="80"/>
      <c r="O115" s="80"/>
      <c r="P115" s="80"/>
      <c r="Q115" s="80"/>
      <c r="R115" s="81"/>
      <c r="T115" s="79" t="s">
        <v>46</v>
      </c>
      <c r="U115" s="80"/>
      <c r="V115" s="80"/>
      <c r="W115" s="80"/>
      <c r="X115" s="80"/>
      <c r="Y115" s="80"/>
      <c r="Z115" s="80"/>
      <c r="AA115" s="81"/>
      <c r="AC115" s="79" t="s">
        <v>46</v>
      </c>
      <c r="AD115" s="80"/>
      <c r="AE115" s="80"/>
      <c r="AF115" s="80"/>
      <c r="AG115" s="80"/>
      <c r="AH115" s="80"/>
      <c r="AI115" s="80"/>
      <c r="AJ115" s="81"/>
    </row>
    <row r="116" spans="2:36" ht="15" thickTop="1"/>
    <row r="121" spans="2:36">
      <c r="E121" s="54" t="s">
        <v>33</v>
      </c>
      <c r="F121" s="54" t="s">
        <v>34</v>
      </c>
      <c r="G121" s="54" t="s">
        <v>35</v>
      </c>
      <c r="N121" s="54" t="s">
        <v>33</v>
      </c>
      <c r="O121" s="54" t="s">
        <v>34</v>
      </c>
      <c r="P121" s="54" t="s">
        <v>35</v>
      </c>
      <c r="W121" s="54" t="s">
        <v>33</v>
      </c>
      <c r="X121" s="54" t="s">
        <v>34</v>
      </c>
      <c r="Y121" s="54" t="s">
        <v>35</v>
      </c>
      <c r="AF121" s="54" t="s">
        <v>33</v>
      </c>
      <c r="AG121" s="54" t="s">
        <v>34</v>
      </c>
      <c r="AH121" s="54" t="s">
        <v>35</v>
      </c>
    </row>
    <row r="122" spans="2:36">
      <c r="E122" s="54">
        <v>1500</v>
      </c>
      <c r="F122" s="55">
        <v>0.15</v>
      </c>
      <c r="G122" s="54">
        <f>SUM(E122+(E122*F122))</f>
        <v>1725</v>
      </c>
      <c r="N122" s="54">
        <v>1500</v>
      </c>
      <c r="O122" s="55">
        <v>0.15</v>
      </c>
      <c r="P122" s="54">
        <f>SUM(N122+(N122*O122))</f>
        <v>1725</v>
      </c>
      <c r="W122" s="54">
        <v>1500</v>
      </c>
      <c r="X122" s="55">
        <v>0.15</v>
      </c>
      <c r="Y122" s="54">
        <f>SUM(W122+(W122*X122))</f>
        <v>1725</v>
      </c>
      <c r="AF122" s="54">
        <v>1500</v>
      </c>
      <c r="AG122" s="55">
        <v>0.15</v>
      </c>
      <c r="AH122" s="54">
        <f>SUM(AF122+(AF122*AG122))</f>
        <v>1725</v>
      </c>
    </row>
    <row r="123" spans="2:36" ht="409.6">
      <c r="D123" s="54" t="s">
        <v>29</v>
      </c>
      <c r="E123" s="54" t="s">
        <v>11</v>
      </c>
      <c r="F123" s="54" t="s">
        <v>30</v>
      </c>
      <c r="G123" s="54" t="s">
        <v>31</v>
      </c>
      <c r="H123" s="54" t="s">
        <v>32</v>
      </c>
      <c r="M123" s="54" t="s">
        <v>29</v>
      </c>
      <c r="N123" s="54" t="s">
        <v>11</v>
      </c>
      <c r="O123" s="54" t="s">
        <v>30</v>
      </c>
      <c r="P123" s="54" t="s">
        <v>31</v>
      </c>
      <c r="Q123" s="54" t="s">
        <v>32</v>
      </c>
      <c r="V123" s="54" t="s">
        <v>29</v>
      </c>
      <c r="W123" s="54" t="s">
        <v>11</v>
      </c>
      <c r="X123" s="54" t="s">
        <v>30</v>
      </c>
      <c r="Y123" s="54" t="s">
        <v>31</v>
      </c>
      <c r="Z123" s="54" t="s">
        <v>32</v>
      </c>
      <c r="AE123" s="54" t="s">
        <v>29</v>
      </c>
      <c r="AF123" s="54" t="s">
        <v>11</v>
      </c>
      <c r="AG123" s="54" t="s">
        <v>30</v>
      </c>
      <c r="AH123" s="54" t="s">
        <v>31</v>
      </c>
      <c r="AI123" s="54" t="s">
        <v>32</v>
      </c>
    </row>
    <row r="124" spans="2:36" ht="409.6">
      <c r="D124" s="54">
        <f>SUM(G122)</f>
        <v>1725</v>
      </c>
      <c r="E124" s="56">
        <f>SUM(D124/30)</f>
        <v>57.5</v>
      </c>
      <c r="F124" s="54">
        <v>30</v>
      </c>
      <c r="G124" s="54">
        <f>SUM(C135:I135,C143:I143,C159:I159)</f>
        <v>0</v>
      </c>
      <c r="H124" s="54">
        <f>SUM(F124-G124)</f>
        <v>30</v>
      </c>
      <c r="M124" s="54">
        <f>SUM(P122)</f>
        <v>1725</v>
      </c>
      <c r="N124" s="56">
        <f>SUM(M124/30)</f>
        <v>57.5</v>
      </c>
      <c r="O124" s="54">
        <v>30</v>
      </c>
      <c r="P124" s="54">
        <f>SUM(L135:R135,L143:R143,L159:R159)</f>
        <v>0</v>
      </c>
      <c r="Q124" s="54">
        <f>SUM(O124-P124)</f>
        <v>30</v>
      </c>
      <c r="V124" s="54">
        <f>SUM(Y122)</f>
        <v>1725</v>
      </c>
      <c r="W124" s="56">
        <f>SUM(V124/30)</f>
        <v>57.5</v>
      </c>
      <c r="X124" s="54">
        <v>30</v>
      </c>
      <c r="Y124" s="54">
        <f>SUM(U135:AA135,U143:AA143,U159:AA159)</f>
        <v>0</v>
      </c>
      <c r="Z124" s="54">
        <f>SUM(X124-Y124)</f>
        <v>30</v>
      </c>
      <c r="AE124" s="54">
        <f>SUM(AH122)</f>
        <v>1725</v>
      </c>
      <c r="AF124" s="56">
        <f>SUM(AE124/30)</f>
        <v>57.5</v>
      </c>
      <c r="AG124" s="54">
        <v>30</v>
      </c>
      <c r="AH124" s="54">
        <f>SUM(AD135:AJ135,AD143:AJ143,AD159:AJ159)</f>
        <v>0</v>
      </c>
      <c r="AI124" s="54">
        <f>SUM(AG124-AH124)</f>
        <v>30</v>
      </c>
    </row>
    <row r="125" spans="2:36" ht="409.6">
      <c r="E125" s="56"/>
    </row>
    <row r="126" spans="2:36" ht="15.75" thickBot="1">
      <c r="E126" s="56"/>
    </row>
    <row r="127" spans="2:36" ht="15" thickTop="1">
      <c r="B127" s="87" t="s">
        <v>49</v>
      </c>
      <c r="C127" s="88"/>
      <c r="D127" s="88"/>
      <c r="E127" s="88"/>
      <c r="F127" s="88"/>
      <c r="G127" s="88"/>
      <c r="H127" s="88"/>
      <c r="I127" s="89"/>
      <c r="K127" s="87" t="s">
        <v>50</v>
      </c>
      <c r="L127" s="88"/>
      <c r="M127" s="88"/>
      <c r="N127" s="88"/>
      <c r="O127" s="88"/>
      <c r="P127" s="88"/>
      <c r="Q127" s="88"/>
      <c r="R127" s="89"/>
      <c r="T127" s="87" t="s">
        <v>51</v>
      </c>
      <c r="U127" s="88"/>
      <c r="V127" s="88"/>
      <c r="W127" s="88"/>
      <c r="X127" s="88"/>
      <c r="Y127" s="88"/>
      <c r="Z127" s="88"/>
      <c r="AA127" s="89"/>
      <c r="AC127" s="87" t="s">
        <v>51</v>
      </c>
      <c r="AD127" s="88"/>
      <c r="AE127" s="88"/>
      <c r="AF127" s="88"/>
      <c r="AG127" s="88"/>
      <c r="AH127" s="88"/>
      <c r="AI127" s="88"/>
      <c r="AJ127" s="89"/>
    </row>
    <row r="128" spans="2:36" ht="15" thickBot="1">
      <c r="B128" s="90"/>
      <c r="C128" s="91"/>
      <c r="D128" s="91"/>
      <c r="E128" s="91"/>
      <c r="F128" s="91"/>
      <c r="G128" s="91"/>
      <c r="H128" s="91"/>
      <c r="I128" s="92"/>
      <c r="K128" s="90"/>
      <c r="L128" s="91"/>
      <c r="M128" s="91"/>
      <c r="N128" s="91"/>
      <c r="O128" s="91"/>
      <c r="P128" s="91"/>
      <c r="Q128" s="91"/>
      <c r="R128" s="92"/>
      <c r="T128" s="90"/>
      <c r="U128" s="91"/>
      <c r="V128" s="91"/>
      <c r="W128" s="91"/>
      <c r="X128" s="91"/>
      <c r="Y128" s="91"/>
      <c r="Z128" s="91"/>
      <c r="AA128" s="92"/>
      <c r="AC128" s="90"/>
      <c r="AD128" s="91"/>
      <c r="AE128" s="91"/>
      <c r="AF128" s="91"/>
      <c r="AG128" s="91"/>
      <c r="AH128" s="91"/>
      <c r="AI128" s="91"/>
      <c r="AJ128" s="92"/>
    </row>
    <row r="129" spans="2:37" ht="15" thickTop="1">
      <c r="B129" s="66" t="s">
        <v>12</v>
      </c>
      <c r="C129" s="64" t="s">
        <v>13</v>
      </c>
      <c r="D129" s="67" t="s">
        <v>52</v>
      </c>
      <c r="E129" s="58" t="s">
        <v>53</v>
      </c>
      <c r="F129" s="58" t="s">
        <v>47</v>
      </c>
      <c r="G129" s="58" t="s">
        <v>48</v>
      </c>
      <c r="H129" s="58" t="s">
        <v>7</v>
      </c>
      <c r="I129" s="59" t="s">
        <v>3</v>
      </c>
      <c r="K129" s="66" t="s">
        <v>12</v>
      </c>
      <c r="L129" s="64" t="s">
        <v>13</v>
      </c>
      <c r="M129" s="67" t="s">
        <v>52</v>
      </c>
      <c r="N129" s="67" t="s">
        <v>53</v>
      </c>
      <c r="O129" s="67" t="s">
        <v>47</v>
      </c>
      <c r="P129" s="67" t="s">
        <v>48</v>
      </c>
      <c r="Q129" s="67" t="s">
        <v>7</v>
      </c>
      <c r="R129" s="68" t="s">
        <v>3</v>
      </c>
      <c r="T129" s="66" t="s">
        <v>12</v>
      </c>
      <c r="U129" s="64" t="s">
        <v>13</v>
      </c>
      <c r="V129" s="67" t="s">
        <v>52</v>
      </c>
      <c r="W129" s="67" t="s">
        <v>53</v>
      </c>
      <c r="X129" s="67" t="s">
        <v>47</v>
      </c>
      <c r="Y129" s="67" t="s">
        <v>48</v>
      </c>
      <c r="Z129" s="67" t="s">
        <v>7</v>
      </c>
      <c r="AA129" s="68" t="s">
        <v>3</v>
      </c>
      <c r="AC129" s="66" t="s">
        <v>12</v>
      </c>
      <c r="AD129" s="64" t="s">
        <v>13</v>
      </c>
      <c r="AE129" s="67" t="s">
        <v>52</v>
      </c>
      <c r="AF129" s="67" t="s">
        <v>53</v>
      </c>
      <c r="AG129" s="67" t="s">
        <v>47</v>
      </c>
      <c r="AH129" s="67" t="s">
        <v>48</v>
      </c>
      <c r="AI129" s="67" t="s">
        <v>7</v>
      </c>
      <c r="AJ129" s="68" t="s">
        <v>3</v>
      </c>
    </row>
    <row r="130" spans="2:37" ht="15" thickBot="1">
      <c r="B130" s="65">
        <f>SUM(G130:H130)</f>
        <v>4082.5</v>
      </c>
      <c r="C130" s="65">
        <f>SUM(B130+I130)</f>
        <v>5807.5</v>
      </c>
      <c r="D130" s="62">
        <f>SUM(C137:I137,C145:I145,C153:I153,C161:I161,C169:I169,C177:I177)</f>
        <v>41</v>
      </c>
      <c r="E130" s="62">
        <f>SUM(D130*E124)</f>
        <v>2357.5</v>
      </c>
      <c r="F130" s="62">
        <f>SUM(D130+30)</f>
        <v>71</v>
      </c>
      <c r="G130" s="62">
        <f>SUM(I130+E130)</f>
        <v>4082.5</v>
      </c>
      <c r="H130" s="62">
        <f>SUM(C138:I138,C146:I146,C154:I154,C162:I162,C170:I170,C178:I178)*20</f>
        <v>0</v>
      </c>
      <c r="I130" s="63">
        <f>SUM(G122)</f>
        <v>1725</v>
      </c>
      <c r="K130" s="65">
        <f>SUM(P130:Q130)</f>
        <v>3910</v>
      </c>
      <c r="L130" s="65">
        <f>SUM(K130+R130)</f>
        <v>5635</v>
      </c>
      <c r="M130" s="69">
        <f>SUM(L137:R137,L145:R145,L153:R153,L161:R161,L169:R169,L177:R177)</f>
        <v>38</v>
      </c>
      <c r="N130" s="69">
        <f>SUM(M130*N124)</f>
        <v>2185</v>
      </c>
      <c r="O130" s="69">
        <f>SUM(M130+30)</f>
        <v>68</v>
      </c>
      <c r="P130" s="69">
        <f>SUM(R130+N130)</f>
        <v>3910</v>
      </c>
      <c r="Q130" s="69">
        <f>SUM(L138:R138,L146:R146,L154:R154,L162:R162,L170:R170,L178:R178)*20</f>
        <v>0</v>
      </c>
      <c r="R130" s="70">
        <f>SUM(P122)</f>
        <v>1725</v>
      </c>
      <c r="T130" s="65">
        <f>SUM(Y130:Z130)</f>
        <v>3967.5</v>
      </c>
      <c r="U130" s="65">
        <f>SUM(T130+AA130)</f>
        <v>5692.5</v>
      </c>
      <c r="V130" s="69">
        <f>SUM(U137:AA137,U145:AA145,U153:AA153,U161:AA161,U169:AA169,U177:AA177)</f>
        <v>39</v>
      </c>
      <c r="W130" s="69">
        <f>SUM(V130*W124)</f>
        <v>2242.5</v>
      </c>
      <c r="X130" s="69">
        <f>SUM(V130+30)</f>
        <v>69</v>
      </c>
      <c r="Y130" s="69">
        <f>SUM(AA130+W130)</f>
        <v>3967.5</v>
      </c>
      <c r="Z130" s="69">
        <f>SUM(U138:AA138,U146:AA146,U154:AA154,U162:AA162,U170:AA170,U178:AA178)*20</f>
        <v>0</v>
      </c>
      <c r="AA130" s="70">
        <f>SUM(Y122)</f>
        <v>1725</v>
      </c>
      <c r="AC130" s="65">
        <f>SUM(AH130:AI130)</f>
        <v>4025</v>
      </c>
      <c r="AD130" s="65">
        <f>SUM(AC130+AJ130)</f>
        <v>5750</v>
      </c>
      <c r="AE130" s="69">
        <f>SUM(AD137:AJ137,AD145:AJ145,AD153:AJ153,AD161:AJ161,AD169:AJ169,AD177:AJ177)</f>
        <v>40</v>
      </c>
      <c r="AF130" s="69">
        <f>SUM(AE130*AF124)</f>
        <v>2300</v>
      </c>
      <c r="AG130" s="69">
        <f>SUM(AE130+30)</f>
        <v>70</v>
      </c>
      <c r="AH130" s="69">
        <f>SUM(AJ130+AF130)</f>
        <v>4025</v>
      </c>
      <c r="AI130" s="69">
        <f>SUM(AD138:AJ138,AD146:AJ146,AD154:AJ154,AD162:AJ162,AD170:AJ170,AD178:AJ178)*20</f>
        <v>0</v>
      </c>
      <c r="AJ130" s="70">
        <f>SUM(AH122)</f>
        <v>1725</v>
      </c>
    </row>
    <row r="131" spans="2:37" s="1" customFormat="1" ht="15.6" thickTop="1" thickBot="1"/>
    <row r="132" spans="2:37" ht="15" thickTop="1">
      <c r="B132" s="71"/>
      <c r="C132" s="72" t="s">
        <v>36</v>
      </c>
      <c r="D132" s="72" t="s">
        <v>37</v>
      </c>
      <c r="E132" s="72" t="s">
        <v>38</v>
      </c>
      <c r="F132" s="72" t="s">
        <v>39</v>
      </c>
      <c r="G132" s="72" t="s">
        <v>40</v>
      </c>
      <c r="H132" s="72" t="s">
        <v>41</v>
      </c>
      <c r="I132" s="86" t="s">
        <v>42</v>
      </c>
      <c r="K132" s="71"/>
      <c r="L132" s="72" t="s">
        <v>36</v>
      </c>
      <c r="M132" s="72" t="s">
        <v>37</v>
      </c>
      <c r="N132" s="72" t="s">
        <v>38</v>
      </c>
      <c r="O132" s="72" t="s">
        <v>39</v>
      </c>
      <c r="P132" s="72" t="s">
        <v>40</v>
      </c>
      <c r="Q132" s="72" t="s">
        <v>41</v>
      </c>
      <c r="R132" s="86" t="s">
        <v>42</v>
      </c>
      <c r="T132" s="71"/>
      <c r="U132" s="72" t="s">
        <v>36</v>
      </c>
      <c r="V132" s="72" t="s">
        <v>37</v>
      </c>
      <c r="W132" s="72" t="s">
        <v>38</v>
      </c>
      <c r="X132" s="72" t="s">
        <v>39</v>
      </c>
      <c r="Y132" s="72" t="s">
        <v>40</v>
      </c>
      <c r="Z132" s="72" t="s">
        <v>41</v>
      </c>
      <c r="AA132" s="86" t="s">
        <v>42</v>
      </c>
      <c r="AC132" s="71"/>
      <c r="AD132" s="72" t="s">
        <v>36</v>
      </c>
      <c r="AE132" s="72" t="s">
        <v>37</v>
      </c>
      <c r="AF132" s="72" t="s">
        <v>38</v>
      </c>
      <c r="AG132" s="72" t="s">
        <v>39</v>
      </c>
      <c r="AH132" s="72" t="s">
        <v>40</v>
      </c>
      <c r="AI132" s="72" t="s">
        <v>41</v>
      </c>
      <c r="AJ132" s="86" t="s">
        <v>42</v>
      </c>
    </row>
    <row r="133" spans="2:37" ht="15" thickBot="1">
      <c r="B133" s="74"/>
      <c r="C133" s="60"/>
      <c r="D133" s="60"/>
      <c r="E133" s="60"/>
      <c r="F133" s="60"/>
      <c r="G133" s="60"/>
      <c r="H133" s="60">
        <v>46261</v>
      </c>
      <c r="I133" s="75">
        <v>46262</v>
      </c>
      <c r="K133" s="74"/>
      <c r="L133" s="60"/>
      <c r="M133" s="60">
        <v>46292</v>
      </c>
      <c r="N133" s="60">
        <v>46293</v>
      </c>
      <c r="O133" s="60">
        <v>46294</v>
      </c>
      <c r="P133" s="60">
        <v>46295</v>
      </c>
      <c r="Q133" s="60">
        <v>46296</v>
      </c>
      <c r="R133" s="75">
        <v>46297</v>
      </c>
      <c r="S133" s="60"/>
      <c r="T133" s="74"/>
      <c r="U133" s="60"/>
      <c r="V133" s="60"/>
      <c r="W133" s="60"/>
      <c r="X133" s="60">
        <v>46322</v>
      </c>
      <c r="Y133" s="60">
        <v>46323</v>
      </c>
      <c r="Z133" s="60">
        <v>46324</v>
      </c>
      <c r="AA133" s="75">
        <v>46325</v>
      </c>
      <c r="AB133" s="60"/>
      <c r="AC133" s="74"/>
      <c r="AD133" s="60"/>
      <c r="AE133" s="60"/>
      <c r="AF133" s="60"/>
      <c r="AG133" s="60"/>
      <c r="AH133" s="60"/>
      <c r="AI133" s="60"/>
      <c r="AJ133" s="75">
        <v>46353</v>
      </c>
    </row>
    <row r="134" spans="2:37" ht="15.6" thickTop="1" thickBot="1">
      <c r="B134" s="77" t="s">
        <v>44</v>
      </c>
      <c r="C134" s="78"/>
      <c r="D134" s="72"/>
      <c r="E134" s="72"/>
      <c r="F134" s="72"/>
      <c r="G134" s="72"/>
      <c r="H134" s="72"/>
      <c r="I134" s="73"/>
      <c r="K134" s="77" t="s">
        <v>44</v>
      </c>
      <c r="L134" s="78"/>
      <c r="M134" s="72"/>
      <c r="N134" s="72"/>
      <c r="O134" s="72"/>
      <c r="P134" s="72"/>
      <c r="Q134" s="72"/>
      <c r="R134" s="73"/>
      <c r="T134" s="77" t="s">
        <v>44</v>
      </c>
      <c r="U134" s="78"/>
      <c r="V134" s="72"/>
      <c r="W134" s="72"/>
      <c r="X134" s="72"/>
      <c r="Y134" s="72"/>
      <c r="Z134" s="72"/>
      <c r="AA134" s="73"/>
      <c r="AC134" s="77" t="s">
        <v>44</v>
      </c>
      <c r="AD134" s="78"/>
      <c r="AE134" s="72"/>
      <c r="AF134" s="72"/>
      <c r="AG134" s="72"/>
      <c r="AH134" s="72"/>
      <c r="AI134" s="72"/>
      <c r="AJ134" s="73"/>
    </row>
    <row r="135" spans="2:37" ht="15.6" thickTop="1" thickBot="1">
      <c r="B135" s="82" t="s">
        <v>43</v>
      </c>
      <c r="C135" s="83"/>
      <c r="D135" s="84"/>
      <c r="E135" s="84"/>
      <c r="F135" s="84"/>
      <c r="G135" s="84"/>
      <c r="H135" s="84"/>
      <c r="I135" s="85"/>
      <c r="K135" s="82" t="s">
        <v>43</v>
      </c>
      <c r="L135" s="83"/>
      <c r="M135" s="84"/>
      <c r="N135" s="84"/>
      <c r="O135" s="84"/>
      <c r="P135" s="84"/>
      <c r="Q135" s="84"/>
      <c r="R135" s="85"/>
      <c r="T135" s="82" t="s">
        <v>43</v>
      </c>
      <c r="U135" s="83"/>
      <c r="V135" s="84"/>
      <c r="W135" s="84"/>
      <c r="X135" s="84"/>
      <c r="Y135" s="84"/>
      <c r="Z135" s="84"/>
      <c r="AA135" s="85"/>
      <c r="AC135" s="82" t="s">
        <v>43</v>
      </c>
      <c r="AD135" s="83"/>
      <c r="AE135" s="84"/>
      <c r="AF135" s="84"/>
      <c r="AG135" s="84"/>
      <c r="AH135" s="84"/>
      <c r="AI135" s="84"/>
      <c r="AJ135" s="85"/>
    </row>
    <row r="136" spans="2:37" ht="15" thickTop="1">
      <c r="B136" s="74" t="s">
        <v>14</v>
      </c>
      <c r="C136" s="61"/>
      <c r="D136" s="61"/>
      <c r="E136" s="61"/>
      <c r="F136" s="61"/>
      <c r="G136" s="61"/>
      <c r="H136" s="61">
        <v>1</v>
      </c>
      <c r="I136" s="76">
        <v>1</v>
      </c>
      <c r="K136" s="74" t="s">
        <v>14</v>
      </c>
      <c r="L136" s="61"/>
      <c r="M136" s="61">
        <v>1</v>
      </c>
      <c r="N136" s="61">
        <v>1</v>
      </c>
      <c r="O136" s="61">
        <v>1</v>
      </c>
      <c r="P136" s="61">
        <v>1</v>
      </c>
      <c r="Q136" s="61">
        <v>1</v>
      </c>
      <c r="R136" s="76">
        <v>1</v>
      </c>
      <c r="T136" s="74" t="s">
        <v>14</v>
      </c>
      <c r="U136" s="61"/>
      <c r="V136" s="61"/>
      <c r="W136" s="61"/>
      <c r="X136" s="61">
        <v>1</v>
      </c>
      <c r="Y136" s="61">
        <v>1</v>
      </c>
      <c r="Z136" s="61">
        <v>1</v>
      </c>
      <c r="AA136" s="76">
        <v>1</v>
      </c>
      <c r="AC136" s="74" t="s">
        <v>14</v>
      </c>
      <c r="AD136" s="61"/>
      <c r="AE136" s="61"/>
      <c r="AF136" s="61"/>
      <c r="AG136" s="61"/>
      <c r="AH136" s="61"/>
      <c r="AI136" s="61"/>
      <c r="AJ136" s="76">
        <v>1</v>
      </c>
    </row>
    <row r="137" spans="2:37" ht="15" thickBot="1">
      <c r="B137" s="79" t="s">
        <v>45</v>
      </c>
      <c r="C137" s="80"/>
      <c r="D137" s="80"/>
      <c r="E137" s="80"/>
      <c r="F137" s="80"/>
      <c r="G137" s="80"/>
      <c r="H137" s="80">
        <v>1</v>
      </c>
      <c r="I137" s="81">
        <v>3</v>
      </c>
      <c r="K137" s="79" t="s">
        <v>45</v>
      </c>
      <c r="L137" s="80"/>
      <c r="M137" s="80">
        <v>1</v>
      </c>
      <c r="N137" s="80">
        <v>1</v>
      </c>
      <c r="O137" s="80">
        <v>1</v>
      </c>
      <c r="P137" s="80">
        <v>1</v>
      </c>
      <c r="Q137" s="80">
        <v>1</v>
      </c>
      <c r="R137" s="81">
        <v>3</v>
      </c>
      <c r="T137" s="79" t="s">
        <v>45</v>
      </c>
      <c r="U137" s="80"/>
      <c r="V137" s="80"/>
      <c r="W137" s="80"/>
      <c r="X137" s="80">
        <v>1</v>
      </c>
      <c r="Y137" s="80">
        <v>1</v>
      </c>
      <c r="Z137" s="80">
        <v>1</v>
      </c>
      <c r="AA137" s="81">
        <v>3</v>
      </c>
      <c r="AC137" s="79" t="s">
        <v>45</v>
      </c>
      <c r="AD137" s="80"/>
      <c r="AE137" s="80"/>
      <c r="AF137" s="80"/>
      <c r="AG137" s="80"/>
      <c r="AH137" s="80"/>
      <c r="AI137" s="80"/>
      <c r="AJ137" s="81">
        <v>3</v>
      </c>
    </row>
    <row r="138" spans="2:37" ht="15.6" thickTop="1" thickBot="1">
      <c r="B138" s="79" t="s">
        <v>46</v>
      </c>
      <c r="C138" s="80"/>
      <c r="D138" s="80"/>
      <c r="E138" s="80"/>
      <c r="F138" s="80"/>
      <c r="G138" s="80"/>
      <c r="H138" s="80"/>
      <c r="I138" s="81"/>
      <c r="K138" s="79" t="s">
        <v>46</v>
      </c>
      <c r="L138" s="80"/>
      <c r="M138" s="80"/>
      <c r="N138" s="80"/>
      <c r="O138" s="80"/>
      <c r="P138" s="80"/>
      <c r="Q138" s="80"/>
      <c r="R138" s="81"/>
      <c r="T138" s="79" t="s">
        <v>46</v>
      </c>
      <c r="U138" s="80"/>
      <c r="V138" s="80"/>
      <c r="W138" s="80"/>
      <c r="X138" s="80"/>
      <c r="Y138" s="80"/>
      <c r="Z138" s="80"/>
      <c r="AA138" s="81"/>
      <c r="AC138" s="79" t="s">
        <v>46</v>
      </c>
      <c r="AD138" s="80"/>
      <c r="AE138" s="80"/>
      <c r="AF138" s="80"/>
      <c r="AG138" s="80"/>
      <c r="AH138" s="80"/>
      <c r="AI138" s="80"/>
      <c r="AJ138" s="81"/>
    </row>
    <row r="139" spans="2:37" s="1" customFormat="1" ht="15.6" thickTop="1" thickBot="1"/>
    <row r="140" spans="2:37" ht="15" thickTop="1">
      <c r="B140" s="71"/>
      <c r="C140" s="72" t="s">
        <v>36</v>
      </c>
      <c r="D140" s="72" t="s">
        <v>37</v>
      </c>
      <c r="E140" s="72" t="s">
        <v>38</v>
      </c>
      <c r="F140" s="72" t="s">
        <v>39</v>
      </c>
      <c r="G140" s="72" t="s">
        <v>40</v>
      </c>
      <c r="H140" s="72" t="s">
        <v>41</v>
      </c>
      <c r="I140" s="86" t="s">
        <v>42</v>
      </c>
      <c r="J140" s="57"/>
      <c r="K140" s="71"/>
      <c r="L140" s="72" t="s">
        <v>36</v>
      </c>
      <c r="M140" s="72" t="s">
        <v>37</v>
      </c>
      <c r="N140" s="72" t="s">
        <v>38</v>
      </c>
      <c r="O140" s="72" t="s">
        <v>39</v>
      </c>
      <c r="P140" s="72" t="s">
        <v>40</v>
      </c>
      <c r="Q140" s="72" t="s">
        <v>41</v>
      </c>
      <c r="R140" s="86" t="s">
        <v>42</v>
      </c>
      <c r="T140" s="71"/>
      <c r="U140" s="72" t="s">
        <v>36</v>
      </c>
      <c r="V140" s="72" t="s">
        <v>37</v>
      </c>
      <c r="W140" s="72" t="s">
        <v>38</v>
      </c>
      <c r="X140" s="72" t="s">
        <v>39</v>
      </c>
      <c r="Y140" s="72" t="s">
        <v>40</v>
      </c>
      <c r="Z140" s="72" t="s">
        <v>41</v>
      </c>
      <c r="AA140" s="86" t="s">
        <v>42</v>
      </c>
      <c r="AC140" s="71"/>
      <c r="AD140" s="72" t="s">
        <v>36</v>
      </c>
      <c r="AE140" s="72" t="s">
        <v>37</v>
      </c>
      <c r="AF140" s="72" t="s">
        <v>38</v>
      </c>
      <c r="AG140" s="72" t="s">
        <v>39</v>
      </c>
      <c r="AH140" s="72" t="s">
        <v>40</v>
      </c>
      <c r="AI140" s="72" t="s">
        <v>41</v>
      </c>
      <c r="AJ140" s="86" t="s">
        <v>42</v>
      </c>
    </row>
    <row r="141" spans="2:37" ht="15" thickBot="1">
      <c r="B141" s="74"/>
      <c r="C141" s="60">
        <v>46263</v>
      </c>
      <c r="D141" s="60">
        <v>46264</v>
      </c>
      <c r="E141" s="60">
        <v>46265</v>
      </c>
      <c r="F141" s="60">
        <v>46266</v>
      </c>
      <c r="G141" s="60">
        <v>46267</v>
      </c>
      <c r="H141" s="60">
        <v>46268</v>
      </c>
      <c r="I141" s="75">
        <v>46269</v>
      </c>
      <c r="J141" s="60"/>
      <c r="K141" s="74"/>
      <c r="L141" s="60">
        <v>46298</v>
      </c>
      <c r="M141" s="60">
        <v>46299</v>
      </c>
      <c r="N141" s="60">
        <v>46300</v>
      </c>
      <c r="O141" s="60">
        <v>46301</v>
      </c>
      <c r="P141" s="60">
        <v>46302</v>
      </c>
      <c r="Q141" s="60">
        <v>46303</v>
      </c>
      <c r="R141" s="75">
        <v>46304</v>
      </c>
      <c r="S141" s="60"/>
      <c r="T141" s="74"/>
      <c r="U141" s="60">
        <v>46326</v>
      </c>
      <c r="V141" s="60">
        <v>46327</v>
      </c>
      <c r="W141" s="60">
        <v>46328</v>
      </c>
      <c r="X141" s="60">
        <v>46329</v>
      </c>
      <c r="Y141" s="60">
        <v>46330</v>
      </c>
      <c r="Z141" s="60">
        <v>46331</v>
      </c>
      <c r="AA141" s="75">
        <v>46332</v>
      </c>
      <c r="AB141" s="60"/>
      <c r="AC141" s="74"/>
      <c r="AD141" s="60">
        <v>46354</v>
      </c>
      <c r="AE141" s="60">
        <v>46355</v>
      </c>
      <c r="AF141" s="60">
        <v>46356</v>
      </c>
      <c r="AG141" s="60">
        <v>46357</v>
      </c>
      <c r="AH141" s="60">
        <v>46358</v>
      </c>
      <c r="AI141" s="60">
        <v>46359</v>
      </c>
      <c r="AJ141" s="75">
        <v>46360</v>
      </c>
      <c r="AK141" s="60"/>
    </row>
    <row r="142" spans="2:37" ht="15.6" thickTop="1" thickBot="1">
      <c r="B142" s="77" t="s">
        <v>44</v>
      </c>
      <c r="C142" s="78"/>
      <c r="D142" s="72"/>
      <c r="E142" s="72"/>
      <c r="F142" s="72"/>
      <c r="G142" s="72"/>
      <c r="H142" s="72"/>
      <c r="I142" s="73"/>
      <c r="K142" s="77" t="s">
        <v>44</v>
      </c>
      <c r="L142" s="78"/>
      <c r="M142" s="72"/>
      <c r="N142" s="72"/>
      <c r="O142" s="72"/>
      <c r="P142" s="72"/>
      <c r="Q142" s="72"/>
      <c r="R142" s="73"/>
      <c r="T142" s="77" t="s">
        <v>44</v>
      </c>
      <c r="U142" s="78"/>
      <c r="V142" s="72"/>
      <c r="W142" s="72"/>
      <c r="X142" s="72"/>
      <c r="Y142" s="72"/>
      <c r="Z142" s="72"/>
      <c r="AA142" s="73"/>
      <c r="AC142" s="77" t="s">
        <v>44</v>
      </c>
      <c r="AD142" s="78"/>
      <c r="AE142" s="72"/>
      <c r="AF142" s="72"/>
      <c r="AG142" s="72"/>
      <c r="AH142" s="72"/>
      <c r="AI142" s="72"/>
      <c r="AJ142" s="73"/>
    </row>
    <row r="143" spans="2:37" ht="15.6" thickTop="1" thickBot="1">
      <c r="B143" s="82" t="s">
        <v>43</v>
      </c>
      <c r="C143" s="83"/>
      <c r="D143" s="84"/>
      <c r="E143" s="84"/>
      <c r="F143" s="84"/>
      <c r="G143" s="84"/>
      <c r="H143" s="84"/>
      <c r="I143" s="85"/>
      <c r="K143" s="82" t="s">
        <v>43</v>
      </c>
      <c r="L143" s="83"/>
      <c r="M143" s="84"/>
      <c r="N143" s="84"/>
      <c r="O143" s="84"/>
      <c r="P143" s="84"/>
      <c r="Q143" s="84"/>
      <c r="R143" s="85"/>
      <c r="T143" s="82" t="s">
        <v>43</v>
      </c>
      <c r="U143" s="83"/>
      <c r="V143" s="84"/>
      <c r="W143" s="84"/>
      <c r="X143" s="84"/>
      <c r="Y143" s="84"/>
      <c r="Z143" s="84"/>
      <c r="AA143" s="85"/>
      <c r="AC143" s="82" t="s">
        <v>43</v>
      </c>
      <c r="AD143" s="83"/>
      <c r="AE143" s="84"/>
      <c r="AF143" s="84"/>
      <c r="AG143" s="84"/>
      <c r="AH143" s="84"/>
      <c r="AI143" s="84"/>
      <c r="AJ143" s="85"/>
    </row>
    <row r="144" spans="2:37" ht="15" thickTop="1">
      <c r="B144" s="74" t="s">
        <v>14</v>
      </c>
      <c r="C144" s="61">
        <v>1</v>
      </c>
      <c r="D144" s="61">
        <v>1</v>
      </c>
      <c r="E144" s="61">
        <v>0</v>
      </c>
      <c r="F144" s="61">
        <v>1</v>
      </c>
      <c r="G144" s="61">
        <v>1</v>
      </c>
      <c r="H144" s="61">
        <v>1</v>
      </c>
      <c r="I144" s="76">
        <v>1</v>
      </c>
      <c r="K144" s="74" t="s">
        <v>14</v>
      </c>
      <c r="L144" s="61">
        <v>1</v>
      </c>
      <c r="M144" s="61">
        <v>1</v>
      </c>
      <c r="N144" s="61">
        <v>1</v>
      </c>
      <c r="O144" s="61">
        <v>1</v>
      </c>
      <c r="P144" s="61">
        <v>1</v>
      </c>
      <c r="Q144" s="61">
        <v>1</v>
      </c>
      <c r="R144" s="76">
        <v>1</v>
      </c>
      <c r="T144" s="74" t="s">
        <v>14</v>
      </c>
      <c r="U144" s="61">
        <v>0</v>
      </c>
      <c r="V144" s="61">
        <v>1</v>
      </c>
      <c r="W144" s="61">
        <v>1</v>
      </c>
      <c r="X144" s="61">
        <v>1</v>
      </c>
      <c r="Y144" s="61">
        <v>1</v>
      </c>
      <c r="Z144" s="61">
        <v>1</v>
      </c>
      <c r="AA144" s="76">
        <v>1</v>
      </c>
      <c r="AC144" s="74" t="s">
        <v>14</v>
      </c>
      <c r="AD144" s="61">
        <v>1</v>
      </c>
      <c r="AE144" s="61">
        <v>1</v>
      </c>
      <c r="AF144" s="61">
        <v>1</v>
      </c>
      <c r="AG144" s="61">
        <v>0</v>
      </c>
      <c r="AH144" s="61">
        <v>1</v>
      </c>
      <c r="AI144" s="61">
        <v>1</v>
      </c>
      <c r="AJ144" s="76">
        <v>1</v>
      </c>
    </row>
    <row r="145" spans="2:37" ht="15" thickBot="1">
      <c r="B145" s="79" t="s">
        <v>45</v>
      </c>
      <c r="C145" s="80">
        <v>1</v>
      </c>
      <c r="D145" s="80">
        <v>1</v>
      </c>
      <c r="E145" s="80">
        <v>1</v>
      </c>
      <c r="F145" s="80">
        <v>1</v>
      </c>
      <c r="G145" s="80">
        <v>1</v>
      </c>
      <c r="H145" s="80">
        <v>1</v>
      </c>
      <c r="I145" s="81">
        <v>3</v>
      </c>
      <c r="K145" s="79" t="s">
        <v>45</v>
      </c>
      <c r="L145" s="80">
        <v>1</v>
      </c>
      <c r="M145" s="80">
        <v>1</v>
      </c>
      <c r="N145" s="80">
        <v>1</v>
      </c>
      <c r="O145" s="80">
        <v>1</v>
      </c>
      <c r="P145" s="80">
        <v>1</v>
      </c>
      <c r="Q145" s="80">
        <v>1</v>
      </c>
      <c r="R145" s="81">
        <v>3</v>
      </c>
      <c r="T145" s="79" t="s">
        <v>45</v>
      </c>
      <c r="U145" s="80">
        <v>1</v>
      </c>
      <c r="V145" s="80">
        <v>1</v>
      </c>
      <c r="W145" s="80">
        <v>1</v>
      </c>
      <c r="X145" s="80">
        <v>1</v>
      </c>
      <c r="Y145" s="80">
        <v>1</v>
      </c>
      <c r="Z145" s="80">
        <v>1</v>
      </c>
      <c r="AA145" s="81">
        <v>3</v>
      </c>
      <c r="AC145" s="79" t="s">
        <v>45</v>
      </c>
      <c r="AD145" s="80">
        <v>1</v>
      </c>
      <c r="AE145" s="80">
        <v>1</v>
      </c>
      <c r="AF145" s="80">
        <v>1</v>
      </c>
      <c r="AG145" s="80">
        <v>1</v>
      </c>
      <c r="AH145" s="80">
        <v>1</v>
      </c>
      <c r="AI145" s="80">
        <v>1</v>
      </c>
      <c r="AJ145" s="81">
        <v>3</v>
      </c>
    </row>
    <row r="146" spans="2:37" ht="15.6" thickTop="1" thickBot="1">
      <c r="B146" s="79" t="s">
        <v>46</v>
      </c>
      <c r="C146" s="80"/>
      <c r="D146" s="80"/>
      <c r="E146" s="80"/>
      <c r="F146" s="80"/>
      <c r="G146" s="80"/>
      <c r="H146" s="80"/>
      <c r="I146" s="81"/>
      <c r="K146" s="79" t="s">
        <v>46</v>
      </c>
      <c r="L146" s="80"/>
      <c r="M146" s="80"/>
      <c r="N146" s="80"/>
      <c r="O146" s="80"/>
      <c r="P146" s="80"/>
      <c r="Q146" s="80"/>
      <c r="R146" s="81"/>
      <c r="T146" s="79" t="s">
        <v>46</v>
      </c>
      <c r="U146" s="80"/>
      <c r="V146" s="80"/>
      <c r="W146" s="80"/>
      <c r="X146" s="80"/>
      <c r="Y146" s="80"/>
      <c r="Z146" s="80"/>
      <c r="AA146" s="81"/>
      <c r="AC146" s="79" t="s">
        <v>46</v>
      </c>
      <c r="AD146" s="80"/>
      <c r="AE146" s="80"/>
      <c r="AF146" s="80"/>
      <c r="AG146" s="80"/>
      <c r="AH146" s="80"/>
      <c r="AI146" s="80"/>
      <c r="AJ146" s="81"/>
    </row>
    <row r="147" spans="2:37" s="1" customFormat="1" ht="15.6" thickTop="1" thickBot="1"/>
    <row r="148" spans="2:37" ht="15" thickTop="1">
      <c r="B148" s="71"/>
      <c r="C148" s="72" t="s">
        <v>36</v>
      </c>
      <c r="D148" s="72" t="s">
        <v>37</v>
      </c>
      <c r="E148" s="72" t="s">
        <v>38</v>
      </c>
      <c r="F148" s="72" t="s">
        <v>39</v>
      </c>
      <c r="G148" s="72" t="s">
        <v>40</v>
      </c>
      <c r="H148" s="72" t="s">
        <v>41</v>
      </c>
      <c r="I148" s="86" t="s">
        <v>42</v>
      </c>
      <c r="J148" s="57"/>
      <c r="K148" s="71"/>
      <c r="L148" s="72" t="s">
        <v>36</v>
      </c>
      <c r="M148" s="72" t="s">
        <v>37</v>
      </c>
      <c r="N148" s="72" t="s">
        <v>38</v>
      </c>
      <c r="O148" s="72" t="s">
        <v>39</v>
      </c>
      <c r="P148" s="72" t="s">
        <v>40</v>
      </c>
      <c r="Q148" s="72" t="s">
        <v>41</v>
      </c>
      <c r="R148" s="86" t="s">
        <v>42</v>
      </c>
      <c r="T148" s="71"/>
      <c r="U148" s="72" t="s">
        <v>36</v>
      </c>
      <c r="V148" s="72" t="s">
        <v>37</v>
      </c>
      <c r="W148" s="72" t="s">
        <v>38</v>
      </c>
      <c r="X148" s="72" t="s">
        <v>39</v>
      </c>
      <c r="Y148" s="72" t="s">
        <v>40</v>
      </c>
      <c r="Z148" s="72" t="s">
        <v>41</v>
      </c>
      <c r="AA148" s="86" t="s">
        <v>42</v>
      </c>
      <c r="AC148" s="71"/>
      <c r="AD148" s="72" t="s">
        <v>36</v>
      </c>
      <c r="AE148" s="72" t="s">
        <v>37</v>
      </c>
      <c r="AF148" s="72" t="s">
        <v>38</v>
      </c>
      <c r="AG148" s="72" t="s">
        <v>39</v>
      </c>
      <c r="AH148" s="72" t="s">
        <v>40</v>
      </c>
      <c r="AI148" s="72" t="s">
        <v>41</v>
      </c>
      <c r="AJ148" s="86" t="s">
        <v>42</v>
      </c>
    </row>
    <row r="149" spans="2:37" ht="15" thickBot="1">
      <c r="B149" s="74"/>
      <c r="C149" s="60">
        <v>46270</v>
      </c>
      <c r="D149" s="60">
        <v>46271</v>
      </c>
      <c r="E149" s="60">
        <v>46272</v>
      </c>
      <c r="F149" s="60">
        <v>46273</v>
      </c>
      <c r="G149" s="60">
        <v>46274</v>
      </c>
      <c r="H149" s="60">
        <v>46275</v>
      </c>
      <c r="I149" s="75">
        <v>46276</v>
      </c>
      <c r="J149" s="60"/>
      <c r="K149" s="74"/>
      <c r="L149" s="60">
        <v>46305</v>
      </c>
      <c r="M149" s="60">
        <v>46306</v>
      </c>
      <c r="N149" s="60">
        <v>46307</v>
      </c>
      <c r="O149" s="60">
        <v>46308</v>
      </c>
      <c r="P149" s="60">
        <v>46309</v>
      </c>
      <c r="Q149" s="60">
        <v>46310</v>
      </c>
      <c r="R149" s="75">
        <v>46311</v>
      </c>
      <c r="S149" s="60"/>
      <c r="T149" s="74"/>
      <c r="U149" s="60">
        <v>46333</v>
      </c>
      <c r="V149" s="60">
        <v>46334</v>
      </c>
      <c r="W149" s="60">
        <v>46335</v>
      </c>
      <c r="X149" s="60">
        <v>46336</v>
      </c>
      <c r="Y149" s="60">
        <v>46337</v>
      </c>
      <c r="Z149" s="60">
        <v>46338</v>
      </c>
      <c r="AA149" s="75">
        <v>46339</v>
      </c>
      <c r="AB149" s="60"/>
      <c r="AC149" s="74"/>
      <c r="AD149" s="60">
        <v>46361</v>
      </c>
      <c r="AE149" s="60">
        <v>46362</v>
      </c>
      <c r="AF149" s="60">
        <v>46363</v>
      </c>
      <c r="AG149" s="60">
        <v>46364</v>
      </c>
      <c r="AH149" s="60">
        <v>46365</v>
      </c>
      <c r="AI149" s="60">
        <v>46366</v>
      </c>
      <c r="AJ149" s="75">
        <v>46367</v>
      </c>
      <c r="AK149" s="60"/>
    </row>
    <row r="150" spans="2:37" ht="15.6" thickTop="1" thickBot="1">
      <c r="B150" s="77" t="s">
        <v>44</v>
      </c>
      <c r="C150" s="78"/>
      <c r="D150" s="72"/>
      <c r="E150" s="72"/>
      <c r="F150" s="72"/>
      <c r="G150" s="72"/>
      <c r="H150" s="72"/>
      <c r="I150" s="73"/>
      <c r="K150" s="77" t="s">
        <v>44</v>
      </c>
      <c r="L150" s="78"/>
      <c r="M150" s="72"/>
      <c r="N150" s="72"/>
      <c r="O150" s="72"/>
      <c r="P150" s="72"/>
      <c r="Q150" s="72"/>
      <c r="R150" s="73"/>
      <c r="T150" s="77" t="s">
        <v>44</v>
      </c>
      <c r="U150" s="78"/>
      <c r="V150" s="72"/>
      <c r="W150" s="72"/>
      <c r="X150" s="72"/>
      <c r="Y150" s="72"/>
      <c r="Z150" s="72"/>
      <c r="AA150" s="73"/>
      <c r="AC150" s="77" t="s">
        <v>44</v>
      </c>
      <c r="AD150" s="78"/>
      <c r="AE150" s="72"/>
      <c r="AF150" s="72"/>
      <c r="AG150" s="72"/>
      <c r="AH150" s="72"/>
      <c r="AI150" s="72"/>
      <c r="AJ150" s="73"/>
    </row>
    <row r="151" spans="2:37" ht="15.6" thickTop="1" thickBot="1">
      <c r="B151" s="82" t="s">
        <v>43</v>
      </c>
      <c r="C151" s="83"/>
      <c r="D151" s="84"/>
      <c r="E151" s="84"/>
      <c r="F151" s="84"/>
      <c r="G151" s="84"/>
      <c r="H151" s="84"/>
      <c r="I151" s="85"/>
      <c r="K151" s="82" t="s">
        <v>43</v>
      </c>
      <c r="L151" s="83"/>
      <c r="M151" s="84"/>
      <c r="N151" s="84"/>
      <c r="O151" s="84"/>
      <c r="P151" s="84"/>
      <c r="Q151" s="84"/>
      <c r="R151" s="85"/>
      <c r="T151" s="82" t="s">
        <v>43</v>
      </c>
      <c r="U151" s="83"/>
      <c r="V151" s="84"/>
      <c r="W151" s="84"/>
      <c r="X151" s="84"/>
      <c r="Y151" s="84"/>
      <c r="Z151" s="84"/>
      <c r="AA151" s="85"/>
      <c r="AC151" s="82" t="s">
        <v>43</v>
      </c>
      <c r="AD151" s="83"/>
      <c r="AE151" s="84"/>
      <c r="AF151" s="84"/>
      <c r="AG151" s="84"/>
      <c r="AH151" s="84"/>
      <c r="AI151" s="84"/>
      <c r="AJ151" s="85"/>
    </row>
    <row r="152" spans="2:37" ht="15" thickTop="1">
      <c r="B152" s="74" t="s">
        <v>14</v>
      </c>
      <c r="C152" s="61">
        <v>1</v>
      </c>
      <c r="D152" s="61">
        <v>1</v>
      </c>
      <c r="E152" s="61">
        <v>1</v>
      </c>
      <c r="F152" s="61">
        <v>1</v>
      </c>
      <c r="G152" s="61">
        <v>1</v>
      </c>
      <c r="H152" s="61">
        <v>1</v>
      </c>
      <c r="I152" s="76">
        <v>1</v>
      </c>
      <c r="K152" s="74" t="s">
        <v>14</v>
      </c>
      <c r="L152" s="61">
        <v>1</v>
      </c>
      <c r="M152" s="61">
        <v>1</v>
      </c>
      <c r="N152" s="61">
        <v>1</v>
      </c>
      <c r="O152" s="61">
        <v>1</v>
      </c>
      <c r="P152" s="61">
        <v>1</v>
      </c>
      <c r="Q152" s="61">
        <v>1</v>
      </c>
      <c r="R152" s="76">
        <v>1</v>
      </c>
      <c r="T152" s="74" t="s">
        <v>14</v>
      </c>
      <c r="U152" s="61">
        <v>1</v>
      </c>
      <c r="V152" s="61">
        <v>1</v>
      </c>
      <c r="W152" s="61">
        <v>1</v>
      </c>
      <c r="X152" s="61">
        <v>1</v>
      </c>
      <c r="Y152" s="61">
        <v>1</v>
      </c>
      <c r="Z152" s="61">
        <v>1</v>
      </c>
      <c r="AA152" s="76">
        <v>1</v>
      </c>
      <c r="AC152" s="74" t="s">
        <v>14</v>
      </c>
      <c r="AD152" s="61">
        <v>1</v>
      </c>
      <c r="AE152" s="61">
        <v>1</v>
      </c>
      <c r="AF152" s="61">
        <v>1</v>
      </c>
      <c r="AG152" s="61">
        <v>1</v>
      </c>
      <c r="AH152" s="61">
        <v>1</v>
      </c>
      <c r="AI152" s="61">
        <v>1</v>
      </c>
      <c r="AJ152" s="76">
        <v>1</v>
      </c>
    </row>
    <row r="153" spans="2:37" ht="15" thickBot="1">
      <c r="B153" s="79" t="s">
        <v>45</v>
      </c>
      <c r="C153" s="80">
        <v>1</v>
      </c>
      <c r="D153" s="80">
        <v>1</v>
      </c>
      <c r="E153" s="80">
        <v>1</v>
      </c>
      <c r="F153" s="80">
        <v>1</v>
      </c>
      <c r="G153" s="80">
        <v>1</v>
      </c>
      <c r="H153" s="80">
        <v>1</v>
      </c>
      <c r="I153" s="81">
        <v>3</v>
      </c>
      <c r="K153" s="79" t="s">
        <v>45</v>
      </c>
      <c r="L153" s="80">
        <v>1</v>
      </c>
      <c r="M153" s="80">
        <v>1</v>
      </c>
      <c r="N153" s="80">
        <v>1</v>
      </c>
      <c r="O153" s="80">
        <v>1</v>
      </c>
      <c r="P153" s="80">
        <v>1</v>
      </c>
      <c r="Q153" s="80">
        <v>1</v>
      </c>
      <c r="R153" s="81">
        <v>3</v>
      </c>
      <c r="T153" s="79" t="s">
        <v>45</v>
      </c>
      <c r="U153" s="80">
        <v>1</v>
      </c>
      <c r="V153" s="80">
        <v>1</v>
      </c>
      <c r="W153" s="80">
        <v>1</v>
      </c>
      <c r="X153" s="80">
        <v>1</v>
      </c>
      <c r="Y153" s="80">
        <v>1</v>
      </c>
      <c r="Z153" s="80">
        <v>1</v>
      </c>
      <c r="AA153" s="81">
        <v>3</v>
      </c>
      <c r="AC153" s="79" t="s">
        <v>45</v>
      </c>
      <c r="AD153" s="80">
        <v>1</v>
      </c>
      <c r="AE153" s="80">
        <v>1</v>
      </c>
      <c r="AF153" s="80">
        <v>1</v>
      </c>
      <c r="AG153" s="80">
        <v>1</v>
      </c>
      <c r="AH153" s="80">
        <v>1</v>
      </c>
      <c r="AI153" s="80">
        <v>1</v>
      </c>
      <c r="AJ153" s="81">
        <v>3</v>
      </c>
    </row>
    <row r="154" spans="2:37" ht="15.6" thickTop="1" thickBot="1">
      <c r="B154" s="79" t="s">
        <v>46</v>
      </c>
      <c r="C154" s="80"/>
      <c r="D154" s="80"/>
      <c r="E154" s="80"/>
      <c r="F154" s="80"/>
      <c r="G154" s="80"/>
      <c r="H154" s="80"/>
      <c r="I154" s="81"/>
      <c r="K154" s="79" t="s">
        <v>46</v>
      </c>
      <c r="L154" s="80"/>
      <c r="M154" s="80"/>
      <c r="N154" s="80"/>
      <c r="O154" s="80"/>
      <c r="P154" s="80"/>
      <c r="Q154" s="80"/>
      <c r="R154" s="81"/>
      <c r="T154" s="79" t="s">
        <v>46</v>
      </c>
      <c r="U154" s="80"/>
      <c r="V154" s="80"/>
      <c r="W154" s="80"/>
      <c r="X154" s="80"/>
      <c r="Y154" s="80"/>
      <c r="Z154" s="80"/>
      <c r="AA154" s="81"/>
      <c r="AC154" s="79" t="s">
        <v>46</v>
      </c>
      <c r="AD154" s="80"/>
      <c r="AE154" s="80"/>
      <c r="AF154" s="80"/>
      <c r="AG154" s="80"/>
      <c r="AH154" s="80"/>
      <c r="AI154" s="80"/>
      <c r="AJ154" s="81"/>
    </row>
    <row r="155" spans="2:37" ht="15.6" thickTop="1" thickBot="1"/>
    <row r="156" spans="2:37" ht="15" thickTop="1">
      <c r="B156" s="71"/>
      <c r="C156" s="72" t="s">
        <v>36</v>
      </c>
      <c r="D156" s="72" t="s">
        <v>37</v>
      </c>
      <c r="E156" s="72" t="s">
        <v>38</v>
      </c>
      <c r="F156" s="72" t="s">
        <v>39</v>
      </c>
      <c r="G156" s="72" t="s">
        <v>40</v>
      </c>
      <c r="H156" s="72" t="s">
        <v>41</v>
      </c>
      <c r="I156" s="86" t="s">
        <v>42</v>
      </c>
      <c r="K156" s="71"/>
      <c r="L156" s="72" t="s">
        <v>36</v>
      </c>
      <c r="M156" s="72" t="s">
        <v>37</v>
      </c>
      <c r="N156" s="72" t="s">
        <v>38</v>
      </c>
      <c r="O156" s="72" t="s">
        <v>39</v>
      </c>
      <c r="P156" s="72" t="s">
        <v>40</v>
      </c>
      <c r="Q156" s="72" t="s">
        <v>41</v>
      </c>
      <c r="R156" s="86" t="s">
        <v>42</v>
      </c>
      <c r="T156" s="71"/>
      <c r="U156" s="72" t="s">
        <v>36</v>
      </c>
      <c r="V156" s="72" t="s">
        <v>37</v>
      </c>
      <c r="W156" s="72" t="s">
        <v>38</v>
      </c>
      <c r="X156" s="72" t="s">
        <v>39</v>
      </c>
      <c r="Y156" s="72" t="s">
        <v>40</v>
      </c>
      <c r="Z156" s="72" t="s">
        <v>41</v>
      </c>
      <c r="AA156" s="86" t="s">
        <v>42</v>
      </c>
      <c r="AC156" s="71"/>
      <c r="AD156" s="72" t="s">
        <v>36</v>
      </c>
      <c r="AE156" s="72" t="s">
        <v>37</v>
      </c>
      <c r="AF156" s="72" t="s">
        <v>38</v>
      </c>
      <c r="AG156" s="72" t="s">
        <v>39</v>
      </c>
      <c r="AH156" s="72" t="s">
        <v>40</v>
      </c>
      <c r="AI156" s="72" t="s">
        <v>41</v>
      </c>
      <c r="AJ156" s="86" t="s">
        <v>42</v>
      </c>
    </row>
    <row r="157" spans="2:37" ht="15" thickBot="1">
      <c r="B157" s="74"/>
      <c r="C157" s="60">
        <v>46277</v>
      </c>
      <c r="D157" s="60">
        <v>46278</v>
      </c>
      <c r="E157" s="60">
        <v>46279</v>
      </c>
      <c r="F157" s="60">
        <v>46280</v>
      </c>
      <c r="G157" s="60">
        <v>46281</v>
      </c>
      <c r="H157" s="60">
        <v>46282</v>
      </c>
      <c r="I157" s="75">
        <v>46283</v>
      </c>
      <c r="J157" s="60"/>
      <c r="K157" s="74"/>
      <c r="L157" s="60">
        <v>46312</v>
      </c>
      <c r="M157" s="60">
        <v>46313</v>
      </c>
      <c r="N157" s="60">
        <v>46314</v>
      </c>
      <c r="O157" s="60">
        <v>46315</v>
      </c>
      <c r="P157" s="60">
        <v>46316</v>
      </c>
      <c r="Q157" s="60">
        <v>46317</v>
      </c>
      <c r="R157" s="75">
        <v>46318</v>
      </c>
      <c r="S157" s="60"/>
      <c r="T157" s="74"/>
      <c r="U157" s="60">
        <v>46340</v>
      </c>
      <c r="V157" s="60">
        <v>46341</v>
      </c>
      <c r="W157" s="60">
        <v>46342</v>
      </c>
      <c r="X157" s="60">
        <v>46343</v>
      </c>
      <c r="Y157" s="60">
        <v>46344</v>
      </c>
      <c r="Z157" s="60">
        <v>46345</v>
      </c>
      <c r="AA157" s="75">
        <v>46346</v>
      </c>
      <c r="AB157" s="60"/>
      <c r="AC157" s="74"/>
      <c r="AD157" s="60">
        <v>46368</v>
      </c>
      <c r="AE157" s="60">
        <v>46369</v>
      </c>
      <c r="AF157" s="60">
        <v>46370</v>
      </c>
      <c r="AG157" s="60">
        <v>46371</v>
      </c>
      <c r="AH157" s="60">
        <v>46372</v>
      </c>
      <c r="AI157" s="60">
        <v>46373</v>
      </c>
      <c r="AJ157" s="75">
        <v>46374</v>
      </c>
      <c r="AK157" s="60"/>
    </row>
    <row r="158" spans="2:37" ht="15.6" thickTop="1" thickBot="1">
      <c r="B158" s="77" t="s">
        <v>44</v>
      </c>
      <c r="C158" s="78"/>
      <c r="D158" s="72"/>
      <c r="E158" s="72"/>
      <c r="F158" s="72"/>
      <c r="G158" s="72"/>
      <c r="H158" s="72"/>
      <c r="I158" s="73"/>
      <c r="K158" s="77" t="s">
        <v>44</v>
      </c>
      <c r="L158" s="78"/>
      <c r="M158" s="72"/>
      <c r="N158" s="72"/>
      <c r="O158" s="72"/>
      <c r="P158" s="72"/>
      <c r="Q158" s="72"/>
      <c r="R158" s="73"/>
      <c r="T158" s="77" t="s">
        <v>44</v>
      </c>
      <c r="U158" s="78"/>
      <c r="V158" s="72"/>
      <c r="W158" s="72"/>
      <c r="X158" s="72"/>
      <c r="Y158" s="72"/>
      <c r="Z158" s="72"/>
      <c r="AA158" s="73"/>
      <c r="AC158" s="77" t="s">
        <v>44</v>
      </c>
      <c r="AD158" s="78"/>
      <c r="AE158" s="72"/>
      <c r="AF158" s="72"/>
      <c r="AG158" s="72"/>
      <c r="AH158" s="72"/>
      <c r="AI158" s="72"/>
      <c r="AJ158" s="73"/>
    </row>
    <row r="159" spans="2:37" ht="15.6" thickTop="1" thickBot="1">
      <c r="B159" s="82" t="s">
        <v>43</v>
      </c>
      <c r="C159" s="83"/>
      <c r="D159" s="84"/>
      <c r="E159" s="84"/>
      <c r="F159" s="84"/>
      <c r="G159" s="84"/>
      <c r="H159" s="84"/>
      <c r="I159" s="85"/>
      <c r="K159" s="82" t="s">
        <v>43</v>
      </c>
      <c r="L159" s="83"/>
      <c r="M159" s="84"/>
      <c r="N159" s="84"/>
      <c r="O159" s="84"/>
      <c r="P159" s="84"/>
      <c r="Q159" s="84"/>
      <c r="R159" s="85"/>
      <c r="T159" s="82" t="s">
        <v>43</v>
      </c>
      <c r="U159" s="83"/>
      <c r="V159" s="84"/>
      <c r="W159" s="84"/>
      <c r="X159" s="84"/>
      <c r="Y159" s="84"/>
      <c r="Z159" s="84"/>
      <c r="AA159" s="85"/>
      <c r="AC159" s="82" t="s">
        <v>43</v>
      </c>
      <c r="AD159" s="83"/>
      <c r="AE159" s="84"/>
      <c r="AF159" s="84"/>
      <c r="AG159" s="84"/>
      <c r="AH159" s="84"/>
      <c r="AI159" s="84"/>
      <c r="AJ159" s="85"/>
    </row>
    <row r="160" spans="2:37" ht="15" thickTop="1">
      <c r="B160" s="74" t="s">
        <v>14</v>
      </c>
      <c r="C160" s="61">
        <v>1</v>
      </c>
      <c r="D160" s="61">
        <v>1</v>
      </c>
      <c r="E160" s="61">
        <v>1</v>
      </c>
      <c r="F160" s="61">
        <v>1</v>
      </c>
      <c r="G160" s="61">
        <v>1</v>
      </c>
      <c r="H160" s="61">
        <v>1</v>
      </c>
      <c r="I160" s="76">
        <v>1</v>
      </c>
      <c r="K160" s="74" t="s">
        <v>14</v>
      </c>
      <c r="L160" s="61">
        <v>1</v>
      </c>
      <c r="M160" s="61">
        <v>1</v>
      </c>
      <c r="N160" s="61">
        <v>1</v>
      </c>
      <c r="O160" s="61">
        <v>1</v>
      </c>
      <c r="P160" s="61">
        <v>1</v>
      </c>
      <c r="Q160" s="61">
        <v>1</v>
      </c>
      <c r="R160" s="76">
        <v>1</v>
      </c>
      <c r="T160" s="74" t="s">
        <v>14</v>
      </c>
      <c r="U160" s="61">
        <v>1</v>
      </c>
      <c r="V160" s="61">
        <v>1</v>
      </c>
      <c r="W160" s="61">
        <v>1</v>
      </c>
      <c r="X160" s="61">
        <v>1</v>
      </c>
      <c r="Y160" s="61">
        <v>1</v>
      </c>
      <c r="Z160" s="61">
        <v>1</v>
      </c>
      <c r="AA160" s="76">
        <v>1</v>
      </c>
      <c r="AC160" s="74" t="s">
        <v>14</v>
      </c>
      <c r="AD160" s="61">
        <v>1</v>
      </c>
      <c r="AE160" s="61">
        <v>1</v>
      </c>
      <c r="AF160" s="61">
        <v>1</v>
      </c>
      <c r="AG160" s="61">
        <v>1</v>
      </c>
      <c r="AH160" s="61">
        <v>1</v>
      </c>
      <c r="AI160" s="61">
        <v>1</v>
      </c>
      <c r="AJ160" s="76">
        <v>1</v>
      </c>
    </row>
    <row r="161" spans="2:37" ht="15" thickBot="1">
      <c r="B161" s="79" t="s">
        <v>45</v>
      </c>
      <c r="C161" s="80">
        <v>1</v>
      </c>
      <c r="D161" s="80">
        <v>1</v>
      </c>
      <c r="E161" s="80">
        <v>1</v>
      </c>
      <c r="F161" s="80">
        <v>1</v>
      </c>
      <c r="G161" s="80">
        <v>1</v>
      </c>
      <c r="H161" s="80">
        <v>1</v>
      </c>
      <c r="I161" s="81">
        <v>3</v>
      </c>
      <c r="K161" s="79" t="s">
        <v>45</v>
      </c>
      <c r="L161" s="80">
        <v>1</v>
      </c>
      <c r="M161" s="80">
        <v>1</v>
      </c>
      <c r="N161" s="80">
        <v>1</v>
      </c>
      <c r="O161" s="80">
        <v>1</v>
      </c>
      <c r="P161" s="80">
        <v>1</v>
      </c>
      <c r="Q161" s="80">
        <v>1</v>
      </c>
      <c r="R161" s="81">
        <v>3</v>
      </c>
      <c r="T161" s="79" t="s">
        <v>45</v>
      </c>
      <c r="U161" s="80">
        <v>1</v>
      </c>
      <c r="V161" s="80">
        <v>1</v>
      </c>
      <c r="W161" s="80">
        <v>1</v>
      </c>
      <c r="X161" s="80">
        <v>1</v>
      </c>
      <c r="Y161" s="80">
        <v>1</v>
      </c>
      <c r="Z161" s="80">
        <v>1</v>
      </c>
      <c r="AA161" s="81">
        <v>3</v>
      </c>
      <c r="AC161" s="79" t="s">
        <v>45</v>
      </c>
      <c r="AD161" s="80">
        <v>1</v>
      </c>
      <c r="AE161" s="80">
        <v>1</v>
      </c>
      <c r="AF161" s="80">
        <v>1</v>
      </c>
      <c r="AG161" s="80">
        <v>1</v>
      </c>
      <c r="AH161" s="80">
        <v>1</v>
      </c>
      <c r="AI161" s="80">
        <v>1</v>
      </c>
      <c r="AJ161" s="81">
        <v>3</v>
      </c>
    </row>
    <row r="162" spans="2:37" ht="15.6" thickTop="1" thickBot="1">
      <c r="B162" s="79" t="s">
        <v>46</v>
      </c>
      <c r="C162" s="80"/>
      <c r="D162" s="80"/>
      <c r="E162" s="80"/>
      <c r="F162" s="80"/>
      <c r="G162" s="80"/>
      <c r="H162" s="80"/>
      <c r="I162" s="81"/>
      <c r="K162" s="79" t="s">
        <v>46</v>
      </c>
      <c r="L162" s="80"/>
      <c r="M162" s="80"/>
      <c r="N162" s="80"/>
      <c r="O162" s="80"/>
      <c r="P162" s="80"/>
      <c r="Q162" s="80"/>
      <c r="R162" s="81"/>
      <c r="T162" s="79" t="s">
        <v>46</v>
      </c>
      <c r="U162" s="80"/>
      <c r="V162" s="80"/>
      <c r="W162" s="80"/>
      <c r="X162" s="80"/>
      <c r="Y162" s="80"/>
      <c r="Z162" s="80"/>
      <c r="AA162" s="81"/>
      <c r="AC162" s="79" t="s">
        <v>46</v>
      </c>
      <c r="AD162" s="80"/>
      <c r="AE162" s="80"/>
      <c r="AF162" s="80"/>
      <c r="AG162" s="80"/>
      <c r="AH162" s="80"/>
      <c r="AI162" s="80"/>
      <c r="AJ162" s="81"/>
    </row>
    <row r="163" spans="2:37" ht="15.6" thickTop="1" thickBot="1"/>
    <row r="164" spans="2:37" ht="15" thickTop="1">
      <c r="B164" s="71"/>
      <c r="C164" s="72" t="s">
        <v>36</v>
      </c>
      <c r="D164" s="72" t="s">
        <v>37</v>
      </c>
      <c r="E164" s="72" t="s">
        <v>38</v>
      </c>
      <c r="F164" s="72" t="s">
        <v>39</v>
      </c>
      <c r="G164" s="72" t="s">
        <v>40</v>
      </c>
      <c r="H164" s="72" t="s">
        <v>41</v>
      </c>
      <c r="I164" s="86" t="s">
        <v>42</v>
      </c>
      <c r="J164" s="60"/>
      <c r="K164" s="71"/>
      <c r="L164" s="72" t="s">
        <v>36</v>
      </c>
      <c r="M164" s="72" t="s">
        <v>37</v>
      </c>
      <c r="N164" s="72" t="s">
        <v>38</v>
      </c>
      <c r="O164" s="72" t="s">
        <v>39</v>
      </c>
      <c r="P164" s="72" t="s">
        <v>40</v>
      </c>
      <c r="Q164" s="72" t="s">
        <v>41</v>
      </c>
      <c r="R164" s="86" t="s">
        <v>42</v>
      </c>
      <c r="T164" s="71"/>
      <c r="U164" s="72" t="s">
        <v>36</v>
      </c>
      <c r="V164" s="72" t="s">
        <v>37</v>
      </c>
      <c r="W164" s="72" t="s">
        <v>38</v>
      </c>
      <c r="X164" s="72" t="s">
        <v>39</v>
      </c>
      <c r="Y164" s="72" t="s">
        <v>40</v>
      </c>
      <c r="Z164" s="72" t="s">
        <v>41</v>
      </c>
      <c r="AA164" s="86" t="s">
        <v>42</v>
      </c>
      <c r="AC164" s="71"/>
      <c r="AD164" s="72" t="s">
        <v>36</v>
      </c>
      <c r="AE164" s="72" t="s">
        <v>37</v>
      </c>
      <c r="AF164" s="72" t="s">
        <v>38</v>
      </c>
      <c r="AG164" s="72" t="s">
        <v>39</v>
      </c>
      <c r="AH164" s="72" t="s">
        <v>40</v>
      </c>
      <c r="AI164" s="72" t="s">
        <v>41</v>
      </c>
      <c r="AJ164" s="86" t="s">
        <v>42</v>
      </c>
    </row>
    <row r="165" spans="2:37" ht="15" thickBot="1">
      <c r="B165" s="74"/>
      <c r="C165" s="60">
        <v>46284</v>
      </c>
      <c r="D165" s="60">
        <v>46285</v>
      </c>
      <c r="E165" s="60">
        <v>46286</v>
      </c>
      <c r="F165" s="60">
        <v>46287</v>
      </c>
      <c r="G165" s="60">
        <v>46288</v>
      </c>
      <c r="H165" s="60">
        <v>46289</v>
      </c>
      <c r="I165" s="75">
        <v>46290</v>
      </c>
      <c r="J165" s="60"/>
      <c r="K165" s="74"/>
      <c r="L165" s="60">
        <v>46319</v>
      </c>
      <c r="M165" s="60">
        <v>46320</v>
      </c>
      <c r="N165" s="60">
        <v>46321</v>
      </c>
      <c r="O165" s="60"/>
      <c r="P165" s="60"/>
      <c r="Q165" s="60"/>
      <c r="R165" s="75"/>
      <c r="S165" s="60"/>
      <c r="T165" s="74"/>
      <c r="U165" s="60">
        <v>46347</v>
      </c>
      <c r="V165" s="60">
        <v>46348</v>
      </c>
      <c r="W165" s="60">
        <v>46349</v>
      </c>
      <c r="X165" s="60">
        <v>46350</v>
      </c>
      <c r="Y165" s="60">
        <v>46351</v>
      </c>
      <c r="Z165" s="60">
        <v>46352</v>
      </c>
      <c r="AA165" s="75"/>
      <c r="AC165" s="74"/>
      <c r="AD165" s="60">
        <v>46375</v>
      </c>
      <c r="AE165" s="60">
        <v>46376</v>
      </c>
      <c r="AF165" s="60">
        <v>46377</v>
      </c>
      <c r="AG165" s="60">
        <v>46378</v>
      </c>
      <c r="AH165" s="60">
        <v>46379</v>
      </c>
      <c r="AI165" s="60">
        <v>46380</v>
      </c>
      <c r="AJ165" s="75">
        <v>46381</v>
      </c>
      <c r="AK165" s="60"/>
    </row>
    <row r="166" spans="2:37" ht="15.6" thickTop="1" thickBot="1">
      <c r="B166" s="77" t="s">
        <v>44</v>
      </c>
      <c r="C166" s="78"/>
      <c r="D166" s="72"/>
      <c r="E166" s="72"/>
      <c r="F166" s="72"/>
      <c r="G166" s="72"/>
      <c r="H166" s="72"/>
      <c r="I166" s="73"/>
      <c r="K166" s="77" t="s">
        <v>44</v>
      </c>
      <c r="L166" s="78"/>
      <c r="M166" s="72"/>
      <c r="N166" s="72"/>
      <c r="O166" s="72"/>
      <c r="P166" s="72"/>
      <c r="Q166" s="72"/>
      <c r="R166" s="73"/>
      <c r="T166" s="77" t="s">
        <v>44</v>
      </c>
      <c r="U166" s="78"/>
      <c r="V166" s="72"/>
      <c r="W166" s="72"/>
      <c r="X166" s="72"/>
      <c r="Y166" s="72"/>
      <c r="Z166" s="72"/>
      <c r="AA166" s="73"/>
      <c r="AC166" s="77" t="s">
        <v>44</v>
      </c>
      <c r="AD166" s="78"/>
      <c r="AE166" s="72"/>
      <c r="AF166" s="72"/>
      <c r="AG166" s="72"/>
      <c r="AH166" s="72"/>
      <c r="AI166" s="72"/>
      <c r="AJ166" s="73"/>
    </row>
    <row r="167" spans="2:37" ht="15.6" thickTop="1" thickBot="1">
      <c r="B167" s="82" t="s">
        <v>43</v>
      </c>
      <c r="C167" s="83"/>
      <c r="D167" s="84"/>
      <c r="E167" s="84"/>
      <c r="F167" s="84"/>
      <c r="G167" s="84"/>
      <c r="H167" s="84"/>
      <c r="I167" s="85"/>
      <c r="K167" s="82" t="s">
        <v>43</v>
      </c>
      <c r="L167" s="83"/>
      <c r="M167" s="84"/>
      <c r="N167" s="84"/>
      <c r="O167" s="84"/>
      <c r="P167" s="84"/>
      <c r="Q167" s="84"/>
      <c r="R167" s="85"/>
      <c r="T167" s="82" t="s">
        <v>43</v>
      </c>
      <c r="U167" s="83"/>
      <c r="V167" s="84"/>
      <c r="W167" s="84"/>
      <c r="X167" s="84"/>
      <c r="Y167" s="84"/>
      <c r="Z167" s="84"/>
      <c r="AA167" s="85"/>
      <c r="AC167" s="82" t="s">
        <v>43</v>
      </c>
      <c r="AD167" s="83"/>
      <c r="AE167" s="84"/>
      <c r="AF167" s="84"/>
      <c r="AG167" s="84"/>
      <c r="AH167" s="84"/>
      <c r="AI167" s="84"/>
      <c r="AJ167" s="85"/>
    </row>
    <row r="168" spans="2:37" ht="15" thickTop="1">
      <c r="B168" s="74" t="s">
        <v>14</v>
      </c>
      <c r="C168" s="61">
        <v>1</v>
      </c>
      <c r="D168" s="61">
        <v>1</v>
      </c>
      <c r="E168" s="61">
        <v>1</v>
      </c>
      <c r="F168" s="61">
        <v>1</v>
      </c>
      <c r="G168" s="61">
        <v>1</v>
      </c>
      <c r="H168" s="61">
        <v>1</v>
      </c>
      <c r="I168" s="76">
        <v>1</v>
      </c>
      <c r="K168" s="74" t="s">
        <v>14</v>
      </c>
      <c r="L168" s="61">
        <v>1</v>
      </c>
      <c r="M168" s="61">
        <v>1</v>
      </c>
      <c r="N168" s="61">
        <v>1</v>
      </c>
      <c r="O168" s="61"/>
      <c r="P168" s="61"/>
      <c r="Q168" s="61"/>
      <c r="R168" s="76"/>
      <c r="T168" s="74" t="s">
        <v>14</v>
      </c>
      <c r="U168" s="61">
        <v>1</v>
      </c>
      <c r="V168" s="61">
        <v>1</v>
      </c>
      <c r="W168" s="61">
        <v>1</v>
      </c>
      <c r="X168" s="61">
        <v>1</v>
      </c>
      <c r="Y168" s="61">
        <v>1</v>
      </c>
      <c r="Z168" s="61">
        <v>1</v>
      </c>
      <c r="AA168" s="76"/>
      <c r="AC168" s="74" t="s">
        <v>14</v>
      </c>
      <c r="AD168" s="61">
        <v>1</v>
      </c>
      <c r="AE168" s="61">
        <v>1</v>
      </c>
      <c r="AF168" s="61">
        <v>1</v>
      </c>
      <c r="AG168" s="61">
        <v>1</v>
      </c>
      <c r="AH168" s="61">
        <v>1</v>
      </c>
      <c r="AI168" s="61">
        <v>1</v>
      </c>
      <c r="AJ168" s="76">
        <v>1</v>
      </c>
    </row>
    <row r="169" spans="2:37" ht="15" thickBot="1">
      <c r="B169" s="79" t="s">
        <v>45</v>
      </c>
      <c r="C169" s="80">
        <v>1</v>
      </c>
      <c r="D169" s="80">
        <v>1</v>
      </c>
      <c r="E169" s="80">
        <v>1</v>
      </c>
      <c r="F169" s="80">
        <v>1</v>
      </c>
      <c r="G169" s="80">
        <v>1</v>
      </c>
      <c r="H169" s="80">
        <v>1</v>
      </c>
      <c r="I169" s="81">
        <v>3</v>
      </c>
      <c r="K169" s="79" t="s">
        <v>45</v>
      </c>
      <c r="L169" s="80">
        <v>1</v>
      </c>
      <c r="M169" s="80">
        <v>1</v>
      </c>
      <c r="N169" s="80">
        <v>1</v>
      </c>
      <c r="O169" s="80"/>
      <c r="P169" s="80"/>
      <c r="Q169" s="80"/>
      <c r="R169" s="81"/>
      <c r="T169" s="79" t="s">
        <v>45</v>
      </c>
      <c r="U169" s="80">
        <v>1</v>
      </c>
      <c r="V169" s="80">
        <v>1</v>
      </c>
      <c r="W169" s="80">
        <v>1</v>
      </c>
      <c r="X169" s="80">
        <v>1</v>
      </c>
      <c r="Y169" s="80">
        <v>1</v>
      </c>
      <c r="Z169" s="80">
        <v>1</v>
      </c>
      <c r="AA169" s="81"/>
      <c r="AC169" s="79" t="s">
        <v>45</v>
      </c>
      <c r="AD169" s="80">
        <v>1</v>
      </c>
      <c r="AE169" s="80">
        <v>1</v>
      </c>
      <c r="AF169" s="80">
        <v>1</v>
      </c>
      <c r="AG169" s="80">
        <v>1</v>
      </c>
      <c r="AH169" s="80">
        <v>1</v>
      </c>
      <c r="AI169" s="80">
        <v>1</v>
      </c>
      <c r="AJ169" s="81">
        <v>3</v>
      </c>
    </row>
    <row r="170" spans="2:37" ht="15.6" thickTop="1" thickBot="1">
      <c r="B170" s="79" t="s">
        <v>46</v>
      </c>
      <c r="C170" s="80"/>
      <c r="D170" s="80"/>
      <c r="E170" s="80"/>
      <c r="F170" s="80"/>
      <c r="G170" s="80"/>
      <c r="H170" s="80"/>
      <c r="I170" s="81"/>
      <c r="K170" s="79" t="s">
        <v>46</v>
      </c>
      <c r="L170" s="80"/>
      <c r="M170" s="80"/>
      <c r="N170" s="80"/>
      <c r="O170" s="80"/>
      <c r="P170" s="80"/>
      <c r="Q170" s="80"/>
      <c r="R170" s="81"/>
      <c r="T170" s="79" t="s">
        <v>46</v>
      </c>
      <c r="U170" s="80"/>
      <c r="V170" s="80"/>
      <c r="W170" s="80"/>
      <c r="X170" s="80"/>
      <c r="Y170" s="80"/>
      <c r="Z170" s="80"/>
      <c r="AA170" s="81"/>
      <c r="AC170" s="79" t="s">
        <v>46</v>
      </c>
      <c r="AD170" s="80"/>
      <c r="AE170" s="80"/>
      <c r="AF170" s="80"/>
      <c r="AG170" s="80"/>
      <c r="AH170" s="80"/>
      <c r="AI170" s="80"/>
      <c r="AJ170" s="81"/>
    </row>
    <row r="171" spans="2:37" ht="15.6" thickTop="1" thickBot="1"/>
    <row r="172" spans="2:37" ht="15" thickTop="1">
      <c r="B172" s="71"/>
      <c r="C172" s="72" t="s">
        <v>36</v>
      </c>
      <c r="D172" s="72" t="s">
        <v>37</v>
      </c>
      <c r="E172" s="72" t="s">
        <v>38</v>
      </c>
      <c r="F172" s="72" t="s">
        <v>39</v>
      </c>
      <c r="G172" s="72" t="s">
        <v>40</v>
      </c>
      <c r="H172" s="72" t="s">
        <v>41</v>
      </c>
      <c r="I172" s="86" t="s">
        <v>42</v>
      </c>
      <c r="J172" s="60"/>
      <c r="K172" s="71"/>
      <c r="L172" s="72" t="s">
        <v>36</v>
      </c>
      <c r="M172" s="72" t="s">
        <v>37</v>
      </c>
      <c r="N172" s="72" t="s">
        <v>38</v>
      </c>
      <c r="O172" s="72" t="s">
        <v>39</v>
      </c>
      <c r="P172" s="72" t="s">
        <v>40</v>
      </c>
      <c r="Q172" s="72" t="s">
        <v>41</v>
      </c>
      <c r="R172" s="86" t="s">
        <v>42</v>
      </c>
      <c r="T172" s="71"/>
      <c r="U172" s="72" t="s">
        <v>36</v>
      </c>
      <c r="V172" s="72" t="s">
        <v>37</v>
      </c>
      <c r="W172" s="72" t="s">
        <v>38</v>
      </c>
      <c r="X172" s="72" t="s">
        <v>39</v>
      </c>
      <c r="Y172" s="72" t="s">
        <v>40</v>
      </c>
      <c r="Z172" s="72" t="s">
        <v>41</v>
      </c>
      <c r="AA172" s="86" t="s">
        <v>42</v>
      </c>
      <c r="AC172" s="71"/>
      <c r="AD172" s="72" t="s">
        <v>36</v>
      </c>
      <c r="AE172" s="72" t="s">
        <v>37</v>
      </c>
      <c r="AF172" s="72" t="s">
        <v>38</v>
      </c>
      <c r="AG172" s="72" t="s">
        <v>39</v>
      </c>
      <c r="AH172" s="72" t="s">
        <v>40</v>
      </c>
      <c r="AI172" s="72" t="s">
        <v>41</v>
      </c>
      <c r="AJ172" s="86" t="s">
        <v>42</v>
      </c>
    </row>
    <row r="173" spans="2:37" ht="15" thickBot="1">
      <c r="B173" s="74"/>
      <c r="C173" s="60">
        <v>46291</v>
      </c>
      <c r="D173" s="60"/>
      <c r="E173" s="60"/>
      <c r="F173" s="60"/>
      <c r="G173" s="60"/>
      <c r="H173" s="60"/>
      <c r="I173" s="75"/>
      <c r="K173" s="74"/>
      <c r="L173" s="60"/>
      <c r="M173" s="60"/>
      <c r="N173" s="60"/>
      <c r="O173" s="60"/>
      <c r="P173" s="60"/>
      <c r="Q173" s="60"/>
      <c r="R173" s="75"/>
      <c r="T173" s="74"/>
      <c r="U173" s="60"/>
      <c r="V173" s="60"/>
      <c r="W173" s="60"/>
      <c r="X173" s="60"/>
      <c r="Y173" s="60"/>
      <c r="Z173" s="60"/>
      <c r="AA173" s="75"/>
      <c r="AC173" s="74"/>
      <c r="AD173" s="60">
        <v>46382</v>
      </c>
      <c r="AE173" s="60"/>
      <c r="AF173" s="60"/>
      <c r="AG173" s="60"/>
      <c r="AH173" s="60"/>
      <c r="AI173" s="60"/>
      <c r="AJ173" s="75"/>
    </row>
    <row r="174" spans="2:37" ht="15.6" thickTop="1" thickBot="1">
      <c r="B174" s="77" t="s">
        <v>44</v>
      </c>
      <c r="C174" s="78"/>
      <c r="D174" s="72"/>
      <c r="E174" s="72"/>
      <c r="F174" s="72"/>
      <c r="G174" s="72"/>
      <c r="H174" s="72"/>
      <c r="I174" s="73"/>
      <c r="K174" s="77" t="s">
        <v>44</v>
      </c>
      <c r="L174" s="78"/>
      <c r="M174" s="72"/>
      <c r="N174" s="72"/>
      <c r="O174" s="72"/>
      <c r="P174" s="72"/>
      <c r="Q174" s="72"/>
      <c r="R174" s="73"/>
      <c r="T174" s="77" t="s">
        <v>44</v>
      </c>
      <c r="U174" s="78"/>
      <c r="V174" s="72"/>
      <c r="W174" s="72"/>
      <c r="X174" s="72"/>
      <c r="Y174" s="72"/>
      <c r="Z174" s="72"/>
      <c r="AA174" s="73"/>
      <c r="AC174" s="77" t="s">
        <v>44</v>
      </c>
      <c r="AD174" s="78"/>
      <c r="AE174" s="72"/>
      <c r="AF174" s="72"/>
      <c r="AG174" s="72"/>
      <c r="AH174" s="72"/>
      <c r="AI174" s="72"/>
      <c r="AJ174" s="73"/>
    </row>
    <row r="175" spans="2:37" ht="15.6" thickTop="1" thickBot="1">
      <c r="B175" s="82" t="s">
        <v>43</v>
      </c>
      <c r="C175" s="83"/>
      <c r="D175" s="84"/>
      <c r="E175" s="84"/>
      <c r="F175" s="84"/>
      <c r="G175" s="84"/>
      <c r="H175" s="84"/>
      <c r="I175" s="85"/>
      <c r="K175" s="82" t="s">
        <v>43</v>
      </c>
      <c r="L175" s="83"/>
      <c r="M175" s="84"/>
      <c r="N175" s="84"/>
      <c r="O175" s="84"/>
      <c r="P175" s="84"/>
      <c r="Q175" s="84"/>
      <c r="R175" s="85"/>
      <c r="T175" s="82" t="s">
        <v>43</v>
      </c>
      <c r="U175" s="83"/>
      <c r="V175" s="84"/>
      <c r="W175" s="84"/>
      <c r="X175" s="84"/>
      <c r="Y175" s="84"/>
      <c r="Z175" s="84"/>
      <c r="AA175" s="85"/>
      <c r="AC175" s="82" t="s">
        <v>43</v>
      </c>
      <c r="AD175" s="83"/>
      <c r="AE175" s="84"/>
      <c r="AF175" s="84"/>
      <c r="AG175" s="84"/>
      <c r="AH175" s="84"/>
      <c r="AI175" s="84"/>
      <c r="AJ175" s="85"/>
    </row>
    <row r="176" spans="2:37" ht="15" thickTop="1">
      <c r="B176" s="74" t="s">
        <v>14</v>
      </c>
      <c r="C176" s="61">
        <v>1</v>
      </c>
      <c r="D176" s="61"/>
      <c r="E176" s="61"/>
      <c r="F176" s="61"/>
      <c r="G176" s="61"/>
      <c r="H176" s="61"/>
      <c r="I176" s="76"/>
      <c r="K176" s="74" t="s">
        <v>14</v>
      </c>
      <c r="L176" s="61"/>
      <c r="M176" s="61"/>
      <c r="N176" s="61"/>
      <c r="O176" s="61"/>
      <c r="P176" s="61"/>
      <c r="Q176" s="61"/>
      <c r="R176" s="76"/>
      <c r="T176" s="74" t="s">
        <v>14</v>
      </c>
      <c r="U176" s="61"/>
      <c r="V176" s="61"/>
      <c r="W176" s="61"/>
      <c r="X176" s="61"/>
      <c r="Y176" s="61"/>
      <c r="Z176" s="61"/>
      <c r="AA176" s="76"/>
      <c r="AC176" s="74" t="s">
        <v>14</v>
      </c>
      <c r="AD176" s="61">
        <v>1</v>
      </c>
      <c r="AE176" s="61"/>
      <c r="AF176" s="61"/>
      <c r="AG176" s="61"/>
      <c r="AH176" s="61"/>
      <c r="AI176" s="61"/>
      <c r="AJ176" s="76"/>
    </row>
    <row r="177" spans="2:36" ht="15" thickBot="1">
      <c r="B177" s="79" t="s">
        <v>45</v>
      </c>
      <c r="C177" s="80">
        <v>1</v>
      </c>
      <c r="D177" s="80"/>
      <c r="E177" s="80"/>
      <c r="F177" s="80"/>
      <c r="G177" s="80"/>
      <c r="H177" s="80"/>
      <c r="I177" s="81"/>
      <c r="K177" s="79" t="s">
        <v>45</v>
      </c>
      <c r="L177" s="80"/>
      <c r="M177" s="80"/>
      <c r="N177" s="80"/>
      <c r="O177" s="80"/>
      <c r="P177" s="80"/>
      <c r="Q177" s="80"/>
      <c r="R177" s="81"/>
      <c r="T177" s="79" t="s">
        <v>45</v>
      </c>
      <c r="U177" s="80"/>
      <c r="V177" s="80"/>
      <c r="W177" s="80"/>
      <c r="X177" s="80"/>
      <c r="Y177" s="80"/>
      <c r="Z177" s="80"/>
      <c r="AA177" s="81"/>
      <c r="AC177" s="79" t="s">
        <v>45</v>
      </c>
      <c r="AD177" s="80">
        <v>1</v>
      </c>
      <c r="AE177" s="80"/>
      <c r="AF177" s="80"/>
      <c r="AG177" s="80"/>
      <c r="AH177" s="80"/>
      <c r="AI177" s="80"/>
      <c r="AJ177" s="81"/>
    </row>
    <row r="178" spans="2:36" ht="15.6" thickTop="1" thickBot="1">
      <c r="B178" s="79" t="s">
        <v>46</v>
      </c>
      <c r="C178" s="80"/>
      <c r="D178" s="80"/>
      <c r="E178" s="80"/>
      <c r="F178" s="80"/>
      <c r="G178" s="80"/>
      <c r="H178" s="80"/>
      <c r="I178" s="81"/>
      <c r="K178" s="79" t="s">
        <v>46</v>
      </c>
      <c r="L178" s="80"/>
      <c r="M178" s="80"/>
      <c r="N178" s="80"/>
      <c r="O178" s="80"/>
      <c r="P178" s="80"/>
      <c r="Q178" s="80"/>
      <c r="R178" s="81"/>
      <c r="T178" s="79" t="s">
        <v>46</v>
      </c>
      <c r="U178" s="80"/>
      <c r="V178" s="80"/>
      <c r="W178" s="80"/>
      <c r="X178" s="80"/>
      <c r="Y178" s="80"/>
      <c r="Z178" s="80"/>
      <c r="AA178" s="81"/>
      <c r="AC178" s="79" t="s">
        <v>46</v>
      </c>
      <c r="AD178" s="80"/>
      <c r="AE178" s="80"/>
      <c r="AF178" s="80"/>
      <c r="AG178" s="80"/>
      <c r="AH178" s="80"/>
      <c r="AI178" s="80"/>
      <c r="AJ178" s="81"/>
    </row>
    <row r="179" spans="2:36" ht="15" thickTop="1"/>
  </sheetData>
  <mergeCells count="12">
    <mergeCell ref="B127:I128"/>
    <mergeCell ref="K127:R128"/>
    <mergeCell ref="T127:AA128"/>
    <mergeCell ref="AC127:AJ128"/>
    <mergeCell ref="B7:I8"/>
    <mergeCell ref="K7:R8"/>
    <mergeCell ref="T7:AA8"/>
    <mergeCell ref="AC7:AJ8"/>
    <mergeCell ref="B64:I65"/>
    <mergeCell ref="K64:R65"/>
    <mergeCell ref="T64:AA65"/>
    <mergeCell ref="AC64:AJ6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"/>
  <sheetViews>
    <sheetView showGridLines="0" zoomScale="45" zoomScaleNormal="45" workbookViewId="0">
      <selection activeCell="I39" sqref="I39"/>
    </sheetView>
  </sheetViews>
  <sheetFormatPr defaultColWidth="9.109375" defaultRowHeight="14.25" customHeight="1"/>
  <cols>
    <col min="1" max="1" width="5.6640625" style="1" customWidth="1"/>
    <col min="2" max="2" width="32.77734375" customWidth="1"/>
    <col min="34" max="34" width="5.21875" customWidth="1"/>
    <col min="35" max="35" width="12.44140625" customWidth="1"/>
    <col min="36" max="36" width="11.44140625" customWidth="1"/>
    <col min="37" max="37" width="4.44140625" style="1" customWidth="1"/>
    <col min="38" max="38" width="5.21875" customWidth="1"/>
  </cols>
  <sheetData>
    <row r="1" spans="2:35" ht="14.25" customHeight="1" thickBo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ht="14.25" customHeight="1" thickTop="1">
      <c r="B2" s="1"/>
      <c r="C2" s="1"/>
      <c r="D2" s="1"/>
      <c r="E2" s="1"/>
      <c r="F2" s="1"/>
      <c r="G2" s="1"/>
      <c r="H2" s="1"/>
      <c r="I2" s="1"/>
      <c r="J2" s="138" t="s">
        <v>25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  <c r="AB2" s="1"/>
      <c r="AC2" s="1"/>
      <c r="AD2" s="1"/>
      <c r="AE2" s="1"/>
      <c r="AF2" s="1"/>
      <c r="AG2" s="1"/>
      <c r="AH2" s="1"/>
      <c r="AI2" s="1"/>
    </row>
    <row r="3" spans="2:35" ht="14.25" customHeight="1">
      <c r="B3" s="1"/>
      <c r="C3" s="1"/>
      <c r="D3" s="1"/>
      <c r="E3" s="1"/>
      <c r="F3" s="1"/>
      <c r="G3" s="1"/>
      <c r="H3" s="1"/>
      <c r="I3" s="1"/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  <c r="AB3" s="1"/>
      <c r="AC3" s="1"/>
      <c r="AD3" s="1"/>
      <c r="AE3" s="1"/>
      <c r="AF3" s="1"/>
      <c r="AG3" s="1"/>
      <c r="AH3" s="1"/>
      <c r="AI3" s="1"/>
    </row>
    <row r="4" spans="2:35" s="1" customFormat="1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2:35" ht="14.25" customHeight="1" thickBot="1">
      <c r="B5" s="1"/>
      <c r="C5" s="1"/>
      <c r="D5" s="1"/>
      <c r="E5" s="1"/>
      <c r="F5" s="1"/>
      <c r="G5" s="1"/>
      <c r="H5" s="1"/>
      <c r="I5" s="1"/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  <c r="AB5" s="1"/>
      <c r="AC5" s="1"/>
      <c r="AD5" s="1"/>
      <c r="AE5" s="1"/>
      <c r="AF5" s="1"/>
      <c r="AG5" s="1"/>
      <c r="AH5" s="1"/>
      <c r="AI5" s="1"/>
    </row>
    <row r="6" spans="2:35" s="1" customFormat="1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2:35" s="1" customFormat="1" ht="14.25" customHeigh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2:35" s="1" customFormat="1" ht="14.25" customHeight="1" thickBot="1">
      <c r="J8" s="18"/>
      <c r="K8" s="33"/>
      <c r="L8" s="33"/>
      <c r="M8" s="33"/>
      <c r="N8" s="33"/>
      <c r="O8" s="33"/>
      <c r="P8" s="33"/>
      <c r="Q8" s="33"/>
      <c r="R8" s="33"/>
      <c r="S8" s="33"/>
      <c r="T8" s="34"/>
      <c r="U8" s="34"/>
      <c r="V8" s="34"/>
      <c r="W8" s="34"/>
      <c r="X8" s="34"/>
      <c r="Y8" s="34"/>
      <c r="Z8" s="34"/>
      <c r="AA8" s="34"/>
    </row>
    <row r="9" spans="2:35" s="1" customFormat="1" ht="14.25" customHeight="1" thickTop="1">
      <c r="J9" s="32"/>
      <c r="K9" s="35"/>
      <c r="L9" s="35"/>
      <c r="M9" s="93" t="s">
        <v>4</v>
      </c>
      <c r="N9" s="94"/>
      <c r="O9" s="95"/>
      <c r="P9" s="93" t="s">
        <v>9</v>
      </c>
      <c r="Q9" s="94"/>
      <c r="R9" s="95"/>
      <c r="S9" s="93" t="s">
        <v>10</v>
      </c>
      <c r="T9" s="94"/>
      <c r="U9" s="95"/>
      <c r="V9" s="93" t="s">
        <v>11</v>
      </c>
      <c r="W9" s="94"/>
      <c r="X9" s="95"/>
      <c r="Y9" s="35"/>
      <c r="Z9" s="34"/>
      <c r="AA9" s="34"/>
    </row>
    <row r="10" spans="2:35" s="1" customFormat="1" ht="14.25" customHeight="1">
      <c r="J10" s="32"/>
      <c r="K10" s="35"/>
      <c r="L10" s="35"/>
      <c r="M10" s="96"/>
      <c r="N10" s="97"/>
      <c r="O10" s="98"/>
      <c r="P10" s="96"/>
      <c r="Q10" s="97"/>
      <c r="R10" s="98"/>
      <c r="S10" s="96"/>
      <c r="T10" s="97"/>
      <c r="U10" s="98"/>
      <c r="V10" s="96"/>
      <c r="W10" s="97"/>
      <c r="X10" s="98"/>
      <c r="Y10" s="35"/>
      <c r="Z10" s="34"/>
      <c r="AA10" s="34"/>
    </row>
    <row r="11" spans="2:35" s="1" customFormat="1" ht="14.25" customHeight="1" thickBot="1">
      <c r="J11" s="32"/>
      <c r="K11" s="35"/>
      <c r="L11" s="35"/>
      <c r="M11" s="99"/>
      <c r="N11" s="100"/>
      <c r="O11" s="101"/>
      <c r="P11" s="99"/>
      <c r="Q11" s="100"/>
      <c r="R11" s="101"/>
      <c r="S11" s="99"/>
      <c r="T11" s="100"/>
      <c r="U11" s="101"/>
      <c r="V11" s="99"/>
      <c r="W11" s="100"/>
      <c r="X11" s="101"/>
      <c r="Y11" s="35"/>
      <c r="Z11" s="34"/>
      <c r="AA11" s="34"/>
    </row>
    <row r="12" spans="2:35" s="1" customFormat="1" ht="14.25" customHeight="1" thickTop="1">
      <c r="J12" s="32"/>
      <c r="K12" s="35"/>
      <c r="L12" s="35"/>
      <c r="M12" s="147">
        <f>SUM(AI39:AI40)</f>
        <v>71</v>
      </c>
      <c r="N12" s="148"/>
      <c r="O12" s="149"/>
      <c r="P12" s="156">
        <v>2576.61</v>
      </c>
      <c r="Q12" s="157"/>
      <c r="R12" s="158"/>
      <c r="S12" s="165">
        <f>SUM(P12*1)</f>
        <v>2576.61</v>
      </c>
      <c r="T12" s="166"/>
      <c r="U12" s="167"/>
      <c r="V12" s="129">
        <f>SUM(S12/30)</f>
        <v>85.887</v>
      </c>
      <c r="W12" s="130"/>
      <c r="X12" s="131"/>
      <c r="Y12" s="35"/>
      <c r="Z12" s="34"/>
      <c r="AA12" s="34"/>
    </row>
    <row r="13" spans="2:35" s="1" customFormat="1" ht="14.25" customHeight="1">
      <c r="J13" s="32"/>
      <c r="K13" s="35"/>
      <c r="L13" s="35"/>
      <c r="M13" s="150"/>
      <c r="N13" s="151"/>
      <c r="O13" s="152"/>
      <c r="P13" s="159"/>
      <c r="Q13" s="160"/>
      <c r="R13" s="161"/>
      <c r="S13" s="168"/>
      <c r="T13" s="169"/>
      <c r="U13" s="170"/>
      <c r="V13" s="132"/>
      <c r="W13" s="133"/>
      <c r="X13" s="134"/>
      <c r="Y13" s="35"/>
      <c r="Z13" s="34"/>
      <c r="AA13" s="34"/>
    </row>
    <row r="14" spans="2:35" s="1" customFormat="1" ht="14.25" customHeight="1" thickBot="1">
      <c r="J14" s="32"/>
      <c r="K14" s="35"/>
      <c r="L14" s="35"/>
      <c r="M14" s="153"/>
      <c r="N14" s="154"/>
      <c r="O14" s="155"/>
      <c r="P14" s="162"/>
      <c r="Q14" s="163"/>
      <c r="R14" s="164"/>
      <c r="S14" s="171"/>
      <c r="T14" s="172"/>
      <c r="U14" s="173"/>
      <c r="V14" s="135"/>
      <c r="W14" s="136"/>
      <c r="X14" s="137"/>
      <c r="Y14" s="35"/>
      <c r="Z14" s="34"/>
      <c r="AA14" s="34"/>
    </row>
    <row r="15" spans="2:35" s="1" customFormat="1" ht="14.25" customHeight="1" thickTop="1" thickBot="1">
      <c r="J15" s="174" t="s">
        <v>27</v>
      </c>
      <c r="K15" s="175"/>
      <c r="L15" s="176"/>
      <c r="M15" s="33"/>
      <c r="N15" s="33"/>
      <c r="O15" s="33"/>
      <c r="P15" s="33"/>
      <c r="Q15" s="33"/>
      <c r="R15" s="33"/>
      <c r="S15" s="33"/>
      <c r="T15" s="35"/>
      <c r="U15" s="35"/>
      <c r="V15" s="35"/>
      <c r="W15" s="35"/>
      <c r="X15" s="35"/>
      <c r="Y15" s="93" t="s">
        <v>28</v>
      </c>
      <c r="Z15" s="94"/>
      <c r="AA15" s="95"/>
    </row>
    <row r="16" spans="2:35" s="1" customFormat="1" ht="14.25" customHeight="1" thickTop="1">
      <c r="J16" s="177"/>
      <c r="K16" s="178"/>
      <c r="L16" s="179"/>
      <c r="M16" s="33"/>
      <c r="N16" s="33"/>
      <c r="O16" s="33"/>
      <c r="P16" s="93" t="s">
        <v>12</v>
      </c>
      <c r="Q16" s="94"/>
      <c r="R16" s="95"/>
      <c r="S16" s="93" t="s">
        <v>13</v>
      </c>
      <c r="T16" s="94"/>
      <c r="U16" s="95"/>
      <c r="V16" s="35"/>
      <c r="W16" s="35"/>
      <c r="X16" s="35"/>
      <c r="Y16" s="96"/>
      <c r="Z16" s="97"/>
      <c r="AA16" s="98"/>
    </row>
    <row r="17" spans="10:27" s="1" customFormat="1" ht="14.25" customHeight="1" thickBot="1">
      <c r="J17" s="180"/>
      <c r="K17" s="181"/>
      <c r="L17" s="182"/>
      <c r="M17" s="33"/>
      <c r="N17" s="33"/>
      <c r="O17" s="33"/>
      <c r="P17" s="96"/>
      <c r="Q17" s="97"/>
      <c r="R17" s="98"/>
      <c r="S17" s="96"/>
      <c r="T17" s="97"/>
      <c r="U17" s="98"/>
      <c r="V17" s="35"/>
      <c r="W17" s="35"/>
      <c r="X17" s="35"/>
      <c r="Y17" s="99"/>
      <c r="Z17" s="100"/>
      <c r="AA17" s="101"/>
    </row>
    <row r="18" spans="10:27" s="1" customFormat="1" ht="14.25" customHeight="1" thickTop="1" thickBot="1">
      <c r="J18" s="183">
        <f>SUM(AI37+'2'!AI36+'3'!AI36+'4'!AI36+'5'!AI36+'6'!AI36+'7'!AI36+'8'!AI36+'9'!AI36+'10'!AI36+'11'!AI36+'12'!AI36)</f>
        <v>0</v>
      </c>
      <c r="K18" s="184"/>
      <c r="L18" s="185"/>
      <c r="M18" s="33"/>
      <c r="N18" s="33"/>
      <c r="O18" s="33"/>
      <c r="P18" s="99"/>
      <c r="Q18" s="100"/>
      <c r="R18" s="101"/>
      <c r="S18" s="99"/>
      <c r="T18" s="100"/>
      <c r="U18" s="101"/>
      <c r="V18" s="35"/>
      <c r="W18" s="35"/>
      <c r="X18" s="35"/>
      <c r="Y18" s="192">
        <f>SUM(30-J18)</f>
        <v>30</v>
      </c>
      <c r="Z18" s="193"/>
      <c r="AA18" s="194"/>
    </row>
    <row r="19" spans="10:27" s="1" customFormat="1" ht="14.25" customHeight="1" thickTop="1">
      <c r="J19" s="186"/>
      <c r="K19" s="187"/>
      <c r="L19" s="188"/>
      <c r="M19" s="33"/>
      <c r="N19" s="33"/>
      <c r="O19" s="33"/>
      <c r="P19" s="102">
        <f>(M12*V12)+AI41</f>
        <v>6097.9769999999999</v>
      </c>
      <c r="Q19" s="103"/>
      <c r="R19" s="104"/>
      <c r="S19" s="111">
        <f>SUM(P19+S12)</f>
        <v>8674.5869999999995</v>
      </c>
      <c r="T19" s="112"/>
      <c r="U19" s="113"/>
      <c r="V19" s="35"/>
      <c r="W19" s="35"/>
      <c r="X19" s="35"/>
      <c r="Y19" s="195"/>
      <c r="Z19" s="196"/>
      <c r="AA19" s="197"/>
    </row>
    <row r="20" spans="10:27" s="1" customFormat="1" ht="14.25" customHeight="1" thickBot="1">
      <c r="J20" s="189"/>
      <c r="K20" s="190"/>
      <c r="L20" s="191"/>
      <c r="M20" s="33"/>
      <c r="N20" s="33"/>
      <c r="O20" s="33"/>
      <c r="P20" s="105"/>
      <c r="Q20" s="106"/>
      <c r="R20" s="107"/>
      <c r="S20" s="114"/>
      <c r="T20" s="115"/>
      <c r="U20" s="116"/>
      <c r="V20" s="35"/>
      <c r="W20" s="35"/>
      <c r="X20" s="35"/>
      <c r="Y20" s="198"/>
      <c r="Z20" s="199"/>
      <c r="AA20" s="200"/>
    </row>
    <row r="21" spans="10:27" s="1" customFormat="1" ht="14.25" customHeight="1" thickTop="1" thickBot="1">
      <c r="J21" s="18"/>
      <c r="K21" s="33"/>
      <c r="L21" s="33"/>
      <c r="M21" s="33"/>
      <c r="N21" s="33"/>
      <c r="O21" s="33"/>
      <c r="P21" s="108"/>
      <c r="Q21" s="109"/>
      <c r="R21" s="110"/>
      <c r="S21" s="117"/>
      <c r="T21" s="118"/>
      <c r="U21" s="119"/>
      <c r="V21" s="35"/>
      <c r="W21" s="35"/>
      <c r="X21" s="35"/>
      <c r="Y21" s="35"/>
      <c r="Z21" s="34"/>
      <c r="AA21" s="34"/>
    </row>
    <row r="22" spans="10:27" s="1" customFormat="1" ht="14.25" customHeight="1" thickTop="1" thickBot="1">
      <c r="J22" s="18"/>
      <c r="K22" s="33"/>
      <c r="L22" s="33"/>
      <c r="M22" s="33"/>
      <c r="N22" s="33"/>
      <c r="O22" s="33"/>
      <c r="P22" s="33"/>
      <c r="Q22" s="33"/>
      <c r="R22" s="33"/>
      <c r="S22" s="33"/>
      <c r="T22" s="35"/>
      <c r="U22" s="35"/>
      <c r="V22" s="35"/>
      <c r="W22" s="35"/>
      <c r="X22" s="35"/>
      <c r="Y22" s="35"/>
      <c r="Z22" s="34"/>
      <c r="AA22" s="34"/>
    </row>
    <row r="23" spans="10:27" s="1" customFormat="1" ht="14.25" customHeight="1" thickTop="1">
      <c r="J23" s="18"/>
      <c r="K23" s="33"/>
      <c r="L23" s="33"/>
      <c r="M23" s="33"/>
      <c r="N23" s="33"/>
      <c r="O23" s="33"/>
      <c r="P23" s="93" t="s">
        <v>8</v>
      </c>
      <c r="Q23" s="94"/>
      <c r="R23" s="94"/>
      <c r="S23" s="94"/>
      <c r="T23" s="94"/>
      <c r="U23" s="95"/>
      <c r="V23" s="35"/>
      <c r="W23" s="35"/>
      <c r="X23" s="35"/>
      <c r="Y23" s="35"/>
      <c r="Z23" s="34"/>
      <c r="AA23" s="34"/>
    </row>
    <row r="24" spans="10:27" s="1" customFormat="1" ht="14.25" customHeight="1">
      <c r="J24" s="18"/>
      <c r="K24" s="33"/>
      <c r="L24" s="33"/>
      <c r="M24" s="33"/>
      <c r="N24" s="33"/>
      <c r="O24" s="33"/>
      <c r="P24" s="96"/>
      <c r="Q24" s="97"/>
      <c r="R24" s="97"/>
      <c r="S24" s="97"/>
      <c r="T24" s="97"/>
      <c r="U24" s="98"/>
      <c r="V24" s="35"/>
      <c r="W24" s="35"/>
      <c r="X24" s="35"/>
      <c r="Y24" s="35"/>
      <c r="Z24" s="34"/>
      <c r="AA24" s="34"/>
    </row>
    <row r="25" spans="10:27" s="1" customFormat="1" ht="14.25" customHeight="1" thickBot="1">
      <c r="J25" s="18"/>
      <c r="K25" s="33"/>
      <c r="L25" s="33"/>
      <c r="M25" s="33"/>
      <c r="N25" s="33"/>
      <c r="O25" s="33"/>
      <c r="P25" s="99"/>
      <c r="Q25" s="100"/>
      <c r="R25" s="100"/>
      <c r="S25" s="100"/>
      <c r="T25" s="100"/>
      <c r="U25" s="101"/>
      <c r="V25" s="35"/>
      <c r="W25" s="35"/>
      <c r="X25" s="35"/>
      <c r="Y25" s="35"/>
      <c r="Z25" s="34"/>
      <c r="AA25" s="34"/>
    </row>
    <row r="26" spans="10:27" s="1" customFormat="1" ht="14.25" customHeight="1" thickTop="1">
      <c r="J26" s="18"/>
      <c r="K26" s="33"/>
      <c r="L26" s="33"/>
      <c r="M26" s="33"/>
      <c r="N26" s="33"/>
      <c r="O26" s="33"/>
      <c r="P26" s="120">
        <v>1000</v>
      </c>
      <c r="Q26" s="121"/>
      <c r="R26" s="121"/>
      <c r="S26" s="121"/>
      <c r="T26" s="121"/>
      <c r="U26" s="122"/>
      <c r="V26" s="35"/>
      <c r="W26" s="35"/>
      <c r="X26" s="35"/>
      <c r="Y26" s="35"/>
      <c r="Z26" s="34"/>
      <c r="AA26" s="34"/>
    </row>
    <row r="27" spans="10:27" s="1" customFormat="1" ht="14.25" customHeight="1">
      <c r="J27" s="18"/>
      <c r="K27" s="33"/>
      <c r="L27" s="33"/>
      <c r="M27" s="33"/>
      <c r="N27" s="33"/>
      <c r="O27" s="33"/>
      <c r="P27" s="123"/>
      <c r="Q27" s="124"/>
      <c r="R27" s="124"/>
      <c r="S27" s="124"/>
      <c r="T27" s="124"/>
      <c r="U27" s="125"/>
      <c r="V27" s="35"/>
      <c r="W27" s="35"/>
      <c r="X27" s="35"/>
      <c r="Y27" s="35"/>
      <c r="Z27" s="34"/>
      <c r="AA27" s="34"/>
    </row>
    <row r="28" spans="10:27" s="1" customFormat="1" ht="14.25" customHeight="1" thickBot="1">
      <c r="J28" s="18"/>
      <c r="K28" s="33"/>
      <c r="L28" s="33"/>
      <c r="M28" s="33"/>
      <c r="N28" s="33"/>
      <c r="O28" s="33"/>
      <c r="P28" s="126"/>
      <c r="Q28" s="127"/>
      <c r="R28" s="127"/>
      <c r="S28" s="127"/>
      <c r="T28" s="127"/>
      <c r="U28" s="128"/>
      <c r="V28" s="35"/>
      <c r="W28" s="35"/>
      <c r="X28" s="35"/>
      <c r="Y28" s="35"/>
      <c r="Z28" s="34"/>
      <c r="AA28" s="34"/>
    </row>
    <row r="29" spans="10:27" s="1" customFormat="1" ht="14.25" customHeight="1" thickTop="1" thickBot="1">
      <c r="J29" s="18"/>
      <c r="K29" s="33"/>
      <c r="L29" s="33"/>
      <c r="M29" s="33"/>
      <c r="N29" s="33"/>
      <c r="O29" s="33"/>
      <c r="P29" s="33"/>
      <c r="Q29" s="33"/>
      <c r="R29" s="33"/>
      <c r="S29" s="33"/>
      <c r="T29" s="35"/>
      <c r="U29" s="35"/>
      <c r="V29" s="35"/>
      <c r="W29" s="35"/>
      <c r="X29" s="35"/>
      <c r="Y29" s="35"/>
      <c r="Z29" s="34"/>
      <c r="AA29" s="34"/>
    </row>
    <row r="30" spans="10:27" s="1" customFormat="1" ht="14.25" customHeight="1" thickTop="1">
      <c r="J30" s="18"/>
      <c r="K30" s="33"/>
      <c r="L30" s="33"/>
      <c r="M30" s="33"/>
      <c r="N30" s="33"/>
      <c r="O30" s="33"/>
      <c r="P30" s="93" t="s">
        <v>12</v>
      </c>
      <c r="Q30" s="94"/>
      <c r="R30" s="95"/>
      <c r="S30" s="93" t="s">
        <v>13</v>
      </c>
      <c r="T30" s="94"/>
      <c r="U30" s="95"/>
      <c r="V30" s="35"/>
      <c r="W30" s="35"/>
      <c r="X30" s="35"/>
      <c r="Y30" s="35"/>
      <c r="Z30" s="34"/>
      <c r="AA30" s="34"/>
    </row>
    <row r="31" spans="10:27" s="1" customFormat="1" ht="14.25" customHeight="1">
      <c r="J31" s="18"/>
      <c r="K31" s="33"/>
      <c r="L31" s="33"/>
      <c r="M31" s="33"/>
      <c r="N31" s="33"/>
      <c r="O31" s="33"/>
      <c r="P31" s="96"/>
      <c r="Q31" s="97"/>
      <c r="R31" s="98"/>
      <c r="S31" s="96"/>
      <c r="T31" s="97"/>
      <c r="U31" s="98"/>
      <c r="V31" s="35"/>
      <c r="W31" s="35"/>
      <c r="X31" s="35"/>
      <c r="Y31" s="35"/>
      <c r="Z31" s="34"/>
      <c r="AA31" s="34"/>
    </row>
    <row r="32" spans="10:27" s="1" customFormat="1" ht="14.25" customHeight="1" thickBot="1">
      <c r="J32" s="18"/>
      <c r="K32" s="33"/>
      <c r="L32" s="33"/>
      <c r="M32" s="33"/>
      <c r="N32" s="33"/>
      <c r="O32" s="33"/>
      <c r="P32" s="99"/>
      <c r="Q32" s="100"/>
      <c r="R32" s="101"/>
      <c r="S32" s="99"/>
      <c r="T32" s="100"/>
      <c r="U32" s="101"/>
      <c r="V32" s="35"/>
      <c r="W32" s="35"/>
      <c r="X32" s="35"/>
      <c r="Y32" s="35"/>
      <c r="Z32" s="34"/>
      <c r="AA32" s="34"/>
    </row>
    <row r="33" spans="2:38" s="1" customFormat="1" ht="14.25" customHeight="1" thickTop="1">
      <c r="J33" s="18"/>
      <c r="K33" s="33"/>
      <c r="L33" s="33"/>
      <c r="M33" s="33"/>
      <c r="N33" s="33"/>
      <c r="O33" s="33"/>
      <c r="P33" s="102">
        <f>SUM(P19-P26)</f>
        <v>5097.9769999999999</v>
      </c>
      <c r="Q33" s="103"/>
      <c r="R33" s="104"/>
      <c r="S33" s="111">
        <f>SUM(S19-P26)</f>
        <v>7674.5869999999995</v>
      </c>
      <c r="T33" s="112"/>
      <c r="U33" s="113"/>
      <c r="V33" s="35"/>
      <c r="W33" s="35"/>
      <c r="X33" s="35"/>
      <c r="Y33" s="35"/>
      <c r="Z33" s="34"/>
      <c r="AA33" s="34"/>
    </row>
    <row r="34" spans="2:38" s="1" customFormat="1" ht="14.25" customHeight="1">
      <c r="J34" s="18"/>
      <c r="K34" s="33"/>
      <c r="L34" s="33"/>
      <c r="M34" s="33"/>
      <c r="N34" s="33"/>
      <c r="O34" s="33"/>
      <c r="P34" s="105"/>
      <c r="Q34" s="106"/>
      <c r="R34" s="107"/>
      <c r="S34" s="114"/>
      <c r="T34" s="115"/>
      <c r="U34" s="116"/>
      <c r="V34" s="35"/>
      <c r="W34" s="35"/>
      <c r="X34" s="35"/>
      <c r="Y34" s="35"/>
      <c r="Z34" s="34"/>
      <c r="AA34" s="34"/>
    </row>
    <row r="35" spans="2:38" s="1" customFormat="1" ht="14.25" customHeight="1" thickBot="1">
      <c r="J35" s="18"/>
      <c r="K35" s="33"/>
      <c r="L35" s="33"/>
      <c r="M35" s="33"/>
      <c r="N35" s="33"/>
      <c r="O35" s="33"/>
      <c r="P35" s="108"/>
      <c r="Q35" s="109"/>
      <c r="R35" s="110"/>
      <c r="S35" s="117"/>
      <c r="T35" s="118"/>
      <c r="U35" s="119"/>
      <c r="V35" s="35"/>
      <c r="W35" s="35"/>
      <c r="X35" s="35"/>
      <c r="Y35" s="35"/>
      <c r="Z35" s="34"/>
      <c r="AA35" s="34"/>
    </row>
    <row r="36" spans="2:38" s="1" customFormat="1" ht="14.25" customHeight="1" thickTop="1" thickBot="1"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2:38" ht="30" customHeight="1" thickTop="1" thickBot="1">
      <c r="B37" s="1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"/>
      <c r="AI37" s="13">
        <f>SUM(C37:AG37)</f>
        <v>0</v>
      </c>
      <c r="AJ37" s="15" t="s">
        <v>5</v>
      </c>
    </row>
    <row r="38" spans="2:38" ht="30" customHeight="1" thickTop="1" thickBot="1">
      <c r="B38" s="2" t="s">
        <v>0</v>
      </c>
      <c r="C38" s="20">
        <v>27</v>
      </c>
      <c r="D38" s="21">
        <v>28</v>
      </c>
      <c r="E38" s="21">
        <v>29</v>
      </c>
      <c r="F38" s="21">
        <v>30</v>
      </c>
      <c r="G38" s="21">
        <v>31</v>
      </c>
      <c r="H38" s="21">
        <v>1</v>
      </c>
      <c r="I38" s="38">
        <v>2</v>
      </c>
      <c r="J38" s="21">
        <v>3</v>
      </c>
      <c r="K38" s="21">
        <v>4</v>
      </c>
      <c r="L38" s="21">
        <v>5</v>
      </c>
      <c r="M38" s="21">
        <v>6</v>
      </c>
      <c r="N38" s="21">
        <v>7</v>
      </c>
      <c r="O38" s="42">
        <v>8</v>
      </c>
      <c r="P38" s="38">
        <v>9</v>
      </c>
      <c r="Q38" s="21">
        <v>10</v>
      </c>
      <c r="R38" s="21">
        <v>11</v>
      </c>
      <c r="S38" s="21">
        <v>12</v>
      </c>
      <c r="T38" s="21">
        <v>13</v>
      </c>
      <c r="U38" s="21">
        <v>14</v>
      </c>
      <c r="V38" s="21">
        <v>15</v>
      </c>
      <c r="W38" s="38">
        <v>16</v>
      </c>
      <c r="X38" s="21">
        <v>17</v>
      </c>
      <c r="Y38" s="21">
        <v>18</v>
      </c>
      <c r="Z38" s="21">
        <v>19</v>
      </c>
      <c r="AA38" s="21">
        <v>20</v>
      </c>
      <c r="AB38" s="21">
        <v>21</v>
      </c>
      <c r="AC38" s="21">
        <v>22</v>
      </c>
      <c r="AD38" s="38">
        <v>23</v>
      </c>
      <c r="AE38" s="42">
        <v>24</v>
      </c>
      <c r="AF38" s="21">
        <v>25</v>
      </c>
      <c r="AG38" s="29">
        <v>26</v>
      </c>
      <c r="AH38" s="1"/>
      <c r="AI38" s="1"/>
      <c r="AJ38" s="1"/>
      <c r="AL38" s="5"/>
    </row>
    <row r="39" spans="2:38" ht="30" customHeight="1" thickTop="1" thickBot="1">
      <c r="B39" s="3" t="s">
        <v>1</v>
      </c>
      <c r="C39" s="22">
        <v>1</v>
      </c>
      <c r="D39" s="23">
        <v>1</v>
      </c>
      <c r="E39" s="23">
        <v>1</v>
      </c>
      <c r="F39" s="23">
        <v>1</v>
      </c>
      <c r="G39" s="23">
        <v>0</v>
      </c>
      <c r="H39" s="23">
        <v>1</v>
      </c>
      <c r="I39" s="39">
        <v>1</v>
      </c>
      <c r="J39" s="23">
        <v>1</v>
      </c>
      <c r="K39" s="23">
        <v>1</v>
      </c>
      <c r="L39" s="23">
        <v>1</v>
      </c>
      <c r="M39" s="23">
        <v>1</v>
      </c>
      <c r="N39" s="23">
        <v>1</v>
      </c>
      <c r="O39" s="43">
        <v>1</v>
      </c>
      <c r="P39" s="39">
        <v>1</v>
      </c>
      <c r="Q39" s="23">
        <v>1</v>
      </c>
      <c r="R39" s="23">
        <v>1</v>
      </c>
      <c r="S39" s="23">
        <v>1</v>
      </c>
      <c r="T39" s="23">
        <v>1</v>
      </c>
      <c r="U39" s="23">
        <v>1</v>
      </c>
      <c r="V39" s="23">
        <v>1</v>
      </c>
      <c r="W39" s="39">
        <v>1</v>
      </c>
      <c r="X39" s="23">
        <v>1</v>
      </c>
      <c r="Y39" s="23">
        <v>1</v>
      </c>
      <c r="Z39" s="23">
        <v>1</v>
      </c>
      <c r="AA39" s="23">
        <v>1</v>
      </c>
      <c r="AB39" s="23">
        <v>1</v>
      </c>
      <c r="AC39" s="23">
        <v>1</v>
      </c>
      <c r="AD39" s="39">
        <v>1</v>
      </c>
      <c r="AE39" s="43">
        <v>1</v>
      </c>
      <c r="AF39" s="23">
        <v>1</v>
      </c>
      <c r="AG39" s="30">
        <v>1</v>
      </c>
      <c r="AH39" s="1"/>
      <c r="AI39" s="4">
        <f>SUM(C39:AG39)</f>
        <v>30</v>
      </c>
      <c r="AJ39" s="15" t="s">
        <v>3</v>
      </c>
      <c r="AL39" s="1"/>
    </row>
    <row r="40" spans="2:38" ht="30" customHeight="1" thickTop="1" thickBot="1">
      <c r="B40" s="7" t="s">
        <v>2</v>
      </c>
      <c r="C40" s="24">
        <v>1</v>
      </c>
      <c r="D40" s="25">
        <v>1</v>
      </c>
      <c r="E40" s="25">
        <v>1</v>
      </c>
      <c r="F40" s="25">
        <v>1</v>
      </c>
      <c r="G40" s="25">
        <v>1</v>
      </c>
      <c r="H40" s="25">
        <v>1</v>
      </c>
      <c r="I40" s="40">
        <v>3</v>
      </c>
      <c r="J40" s="25">
        <v>1</v>
      </c>
      <c r="K40" s="25">
        <v>1</v>
      </c>
      <c r="L40" s="25">
        <v>1</v>
      </c>
      <c r="M40" s="25">
        <v>1</v>
      </c>
      <c r="N40" s="25">
        <v>1</v>
      </c>
      <c r="O40" s="44">
        <v>2</v>
      </c>
      <c r="P40" s="40">
        <v>3</v>
      </c>
      <c r="Q40" s="25">
        <v>1</v>
      </c>
      <c r="R40" s="25">
        <v>1</v>
      </c>
      <c r="S40" s="25">
        <v>1</v>
      </c>
      <c r="T40" s="25">
        <v>1</v>
      </c>
      <c r="U40" s="25">
        <v>1</v>
      </c>
      <c r="V40" s="25">
        <v>1</v>
      </c>
      <c r="W40" s="40">
        <v>3</v>
      </c>
      <c r="X40" s="25">
        <v>1</v>
      </c>
      <c r="Y40" s="25">
        <v>1</v>
      </c>
      <c r="Z40" s="25">
        <v>1</v>
      </c>
      <c r="AA40" s="25">
        <v>1</v>
      </c>
      <c r="AB40" s="25">
        <v>1</v>
      </c>
      <c r="AC40" s="25">
        <v>1</v>
      </c>
      <c r="AD40" s="40">
        <v>3</v>
      </c>
      <c r="AE40" s="44">
        <v>2</v>
      </c>
      <c r="AF40" s="25">
        <v>1</v>
      </c>
      <c r="AG40" s="31">
        <v>1</v>
      </c>
      <c r="AH40" s="1"/>
      <c r="AI40" s="6">
        <f>SUM(C40:AG40)</f>
        <v>41</v>
      </c>
      <c r="AJ40" s="17" t="s">
        <v>6</v>
      </c>
      <c r="AL40" s="1"/>
    </row>
    <row r="41" spans="2:38" ht="30" customHeight="1" thickTop="1" thickBot="1">
      <c r="B41" s="8"/>
      <c r="C41" s="26"/>
      <c r="D41" s="27"/>
      <c r="E41" s="27"/>
      <c r="F41" s="27"/>
      <c r="G41" s="27"/>
      <c r="H41" s="36"/>
      <c r="I41" s="41"/>
      <c r="J41" s="37"/>
      <c r="K41" s="27"/>
      <c r="L41" s="27"/>
      <c r="M41" s="27"/>
      <c r="N41" s="36"/>
      <c r="O41" s="45"/>
      <c r="P41" s="41"/>
      <c r="Q41" s="27"/>
      <c r="R41" s="27"/>
      <c r="S41" s="27"/>
      <c r="T41" s="27"/>
      <c r="U41" s="27"/>
      <c r="V41" s="27"/>
      <c r="W41" s="41"/>
      <c r="X41" s="27"/>
      <c r="Y41" s="27"/>
      <c r="Z41" s="27"/>
      <c r="AA41" s="27"/>
      <c r="AB41" s="27"/>
      <c r="AC41" s="27"/>
      <c r="AD41" s="41"/>
      <c r="AE41" s="45"/>
      <c r="AF41" s="27"/>
      <c r="AG41" s="28"/>
      <c r="AH41" s="1"/>
      <c r="AI41" s="9">
        <f>SUM(C41:AG41)</f>
        <v>0</v>
      </c>
      <c r="AJ41" s="16" t="s">
        <v>7</v>
      </c>
      <c r="AL41" s="1"/>
    </row>
    <row r="42" spans="2:38" ht="14.25" customHeight="1" thickTop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L42" s="1"/>
    </row>
    <row r="43" spans="2:38" ht="14.25" customHeight="1">
      <c r="AL43" s="1"/>
    </row>
    <row r="44" spans="2:38" ht="14.25" customHeight="1">
      <c r="AL44" s="1"/>
    </row>
    <row r="45" spans="2:38" ht="14.25" customHeight="1">
      <c r="AL45" s="1"/>
    </row>
    <row r="46" spans="2:38" ht="14.25" customHeight="1">
      <c r="AL46" s="1"/>
    </row>
    <row r="47" spans="2:38" ht="14.25" customHeight="1">
      <c r="AL47" s="1"/>
    </row>
    <row r="48" spans="2:38" ht="14.25" customHeight="1">
      <c r="AL48" s="1"/>
    </row>
  </sheetData>
  <mergeCells count="23">
    <mergeCell ref="J15:L17"/>
    <mergeCell ref="J18:L20"/>
    <mergeCell ref="Y15:AA17"/>
    <mergeCell ref="Y18:AA20"/>
    <mergeCell ref="S16:U18"/>
    <mergeCell ref="P16:R18"/>
    <mergeCell ref="S19:U21"/>
    <mergeCell ref="P19:R21"/>
    <mergeCell ref="V12:X14"/>
    <mergeCell ref="J2:AA5"/>
    <mergeCell ref="M9:O11"/>
    <mergeCell ref="M12:O14"/>
    <mergeCell ref="P9:R11"/>
    <mergeCell ref="P12:R14"/>
    <mergeCell ref="S9:U11"/>
    <mergeCell ref="S12:U14"/>
    <mergeCell ref="V9:X11"/>
    <mergeCell ref="P30:R32"/>
    <mergeCell ref="S30:U32"/>
    <mergeCell ref="P33:R35"/>
    <mergeCell ref="S33:U35"/>
    <mergeCell ref="P23:U25"/>
    <mergeCell ref="P26:U28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1"/>
  <sheetViews>
    <sheetView showGridLines="0" zoomScale="50" zoomScaleNormal="50" workbookViewId="0">
      <selection activeCell="C36" sqref="C36"/>
    </sheetView>
  </sheetViews>
  <sheetFormatPr defaultColWidth="9" defaultRowHeight="14.25" customHeight="1"/>
  <cols>
    <col min="1" max="1" width="5.6640625" style="1" customWidth="1"/>
    <col min="2" max="2" width="32.77734375" style="1" customWidth="1"/>
    <col min="3" max="33" width="9" style="1"/>
    <col min="34" max="34" width="5.21875" style="1" customWidth="1"/>
    <col min="35" max="35" width="12.44140625" style="1" customWidth="1"/>
    <col min="36" max="36" width="11.44140625" style="1" customWidth="1"/>
    <col min="37" max="37" width="4.44140625" style="1" customWidth="1"/>
    <col min="38" max="38" width="5.21875" style="1" customWidth="1"/>
    <col min="39" max="16384" width="9" style="1"/>
  </cols>
  <sheetData>
    <row r="1" spans="10:27" ht="14.25" customHeight="1" thickBot="1"/>
    <row r="2" spans="10:27" ht="14.25" customHeight="1" thickTop="1">
      <c r="J2" s="138" t="s">
        <v>26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</row>
    <row r="3" spans="10:27" ht="14.25" customHeight="1"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</row>
    <row r="4" spans="10:27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10:27" ht="14.25" customHeight="1" thickBot="1"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</row>
    <row r="6" spans="10:27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10:27" ht="14.25" customHeight="1" thickBo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10:27" ht="14.25" customHeight="1" thickTop="1">
      <c r="J8" s="32"/>
      <c r="K8" s="35"/>
      <c r="L8" s="35"/>
      <c r="M8" s="93" t="s">
        <v>4</v>
      </c>
      <c r="N8" s="94"/>
      <c r="O8" s="95"/>
      <c r="P8" s="93" t="s">
        <v>14</v>
      </c>
      <c r="Q8" s="94"/>
      <c r="R8" s="94"/>
      <c r="S8" s="94"/>
      <c r="T8" s="94"/>
      <c r="U8" s="95"/>
      <c r="V8" s="93" t="s">
        <v>11</v>
      </c>
      <c r="W8" s="94"/>
      <c r="X8" s="95"/>
      <c r="Y8" s="35"/>
      <c r="Z8" s="34"/>
      <c r="AA8" s="34"/>
    </row>
    <row r="9" spans="10:27" ht="14.25" customHeight="1">
      <c r="J9" s="32"/>
      <c r="K9" s="35"/>
      <c r="L9" s="35"/>
      <c r="M9" s="96"/>
      <c r="N9" s="97"/>
      <c r="O9" s="98"/>
      <c r="P9" s="96"/>
      <c r="Q9" s="97"/>
      <c r="R9" s="97"/>
      <c r="S9" s="97"/>
      <c r="T9" s="97"/>
      <c r="U9" s="98"/>
      <c r="V9" s="96"/>
      <c r="W9" s="97"/>
      <c r="X9" s="98"/>
      <c r="Y9" s="35"/>
      <c r="Z9" s="34"/>
      <c r="AA9" s="34"/>
    </row>
    <row r="10" spans="10:27" ht="14.25" customHeight="1" thickBot="1">
      <c r="J10" s="32"/>
      <c r="K10" s="35"/>
      <c r="L10" s="35"/>
      <c r="M10" s="99"/>
      <c r="N10" s="100"/>
      <c r="O10" s="101"/>
      <c r="P10" s="99"/>
      <c r="Q10" s="100"/>
      <c r="R10" s="100"/>
      <c r="S10" s="100"/>
      <c r="T10" s="100"/>
      <c r="U10" s="101"/>
      <c r="V10" s="99"/>
      <c r="W10" s="100"/>
      <c r="X10" s="101"/>
      <c r="Y10" s="35"/>
      <c r="Z10" s="34"/>
      <c r="AA10" s="34"/>
    </row>
    <row r="11" spans="10:27" ht="14.25" customHeight="1" thickTop="1">
      <c r="J11" s="32"/>
      <c r="K11" s="35"/>
      <c r="L11" s="35"/>
      <c r="M11" s="147">
        <f>SUM(AI38:AI39)</f>
        <v>69</v>
      </c>
      <c r="N11" s="148"/>
      <c r="O11" s="149"/>
      <c r="P11" s="165">
        <f>SUM('1'!S12:U14)</f>
        <v>2576.61</v>
      </c>
      <c r="Q11" s="166"/>
      <c r="R11" s="166"/>
      <c r="S11" s="166"/>
      <c r="T11" s="166"/>
      <c r="U11" s="167"/>
      <c r="V11" s="201">
        <f>SUM(P11/30)</f>
        <v>85.887</v>
      </c>
      <c r="W11" s="202"/>
      <c r="X11" s="203"/>
      <c r="Y11" s="35"/>
      <c r="Z11" s="34"/>
      <c r="AA11" s="34"/>
    </row>
    <row r="12" spans="10:27" ht="14.25" customHeight="1">
      <c r="J12" s="32"/>
      <c r="K12" s="35"/>
      <c r="L12" s="35"/>
      <c r="M12" s="150"/>
      <c r="N12" s="151"/>
      <c r="O12" s="152"/>
      <c r="P12" s="168"/>
      <c r="Q12" s="169"/>
      <c r="R12" s="169"/>
      <c r="S12" s="169"/>
      <c r="T12" s="169"/>
      <c r="U12" s="170"/>
      <c r="V12" s="204"/>
      <c r="W12" s="205"/>
      <c r="X12" s="206"/>
      <c r="Y12" s="35"/>
      <c r="Z12" s="34"/>
      <c r="AA12" s="34"/>
    </row>
    <row r="13" spans="10:27" ht="14.25" customHeight="1" thickBot="1">
      <c r="J13" s="32"/>
      <c r="K13" s="35"/>
      <c r="L13" s="35"/>
      <c r="M13" s="153"/>
      <c r="N13" s="154"/>
      <c r="O13" s="155"/>
      <c r="P13" s="171"/>
      <c r="Q13" s="172"/>
      <c r="R13" s="172"/>
      <c r="S13" s="172"/>
      <c r="T13" s="172"/>
      <c r="U13" s="173"/>
      <c r="V13" s="207"/>
      <c r="W13" s="208"/>
      <c r="X13" s="209"/>
      <c r="Y13" s="35"/>
      <c r="Z13" s="34"/>
      <c r="AA13" s="34"/>
    </row>
    <row r="14" spans="10:27" ht="14.25" customHeight="1" thickTop="1" thickBot="1">
      <c r="J14" s="174" t="s">
        <v>27</v>
      </c>
      <c r="K14" s="175"/>
      <c r="L14" s="176"/>
      <c r="M14" s="33"/>
      <c r="N14" s="33"/>
      <c r="O14" s="33"/>
      <c r="P14" s="33"/>
      <c r="Q14" s="33"/>
      <c r="R14" s="33"/>
      <c r="S14" s="33"/>
      <c r="T14" s="35"/>
      <c r="U14" s="35"/>
      <c r="V14" s="35"/>
      <c r="W14" s="35"/>
      <c r="X14" s="35"/>
      <c r="Y14" s="93" t="s">
        <v>28</v>
      </c>
      <c r="Z14" s="94"/>
      <c r="AA14" s="95"/>
    </row>
    <row r="15" spans="10:27" ht="14.25" customHeight="1" thickTop="1">
      <c r="J15" s="177"/>
      <c r="K15" s="178"/>
      <c r="L15" s="179"/>
      <c r="M15" s="33"/>
      <c r="N15" s="33"/>
      <c r="O15" s="33"/>
      <c r="P15" s="93" t="s">
        <v>12</v>
      </c>
      <c r="Q15" s="94"/>
      <c r="R15" s="95"/>
      <c r="S15" s="93" t="s">
        <v>13</v>
      </c>
      <c r="T15" s="94"/>
      <c r="U15" s="95"/>
      <c r="V15" s="35"/>
      <c r="W15" s="35"/>
      <c r="X15" s="35"/>
      <c r="Y15" s="96"/>
      <c r="Z15" s="97"/>
      <c r="AA15" s="98"/>
    </row>
    <row r="16" spans="10:27" ht="14.25" customHeight="1" thickBot="1">
      <c r="J16" s="180"/>
      <c r="K16" s="181"/>
      <c r="L16" s="182"/>
      <c r="M16" s="33"/>
      <c r="N16" s="33"/>
      <c r="O16" s="33"/>
      <c r="P16" s="96"/>
      <c r="Q16" s="97"/>
      <c r="R16" s="98"/>
      <c r="S16" s="96"/>
      <c r="T16" s="97"/>
      <c r="U16" s="98"/>
      <c r="V16" s="35"/>
      <c r="W16" s="35"/>
      <c r="X16" s="35"/>
      <c r="Y16" s="99"/>
      <c r="Z16" s="100"/>
      <c r="AA16" s="101"/>
    </row>
    <row r="17" spans="10:27" ht="14.25" customHeight="1" thickTop="1" thickBot="1">
      <c r="J17" s="183">
        <f>SUM('1'!AI37+'2'!AI36+'3'!AI36+'4'!AI36+'5'!AI36+'6'!AI36+'7'!AI36+'8'!AI36+'9'!AI36+'10'!AI36+'11'!AI36+'12'!AI36)</f>
        <v>0</v>
      </c>
      <c r="K17" s="184"/>
      <c r="L17" s="185"/>
      <c r="M17" s="33"/>
      <c r="N17" s="33"/>
      <c r="O17" s="33"/>
      <c r="P17" s="99"/>
      <c r="Q17" s="100"/>
      <c r="R17" s="101"/>
      <c r="S17" s="99"/>
      <c r="T17" s="100"/>
      <c r="U17" s="101"/>
      <c r="V17" s="35"/>
      <c r="W17" s="35"/>
      <c r="X17" s="35"/>
      <c r="Y17" s="192">
        <f>SUM(30-J17)</f>
        <v>30</v>
      </c>
      <c r="Z17" s="193"/>
      <c r="AA17" s="194"/>
    </row>
    <row r="18" spans="10:27" ht="14.25" customHeight="1" thickTop="1">
      <c r="J18" s="186"/>
      <c r="K18" s="187"/>
      <c r="L18" s="188"/>
      <c r="M18" s="33"/>
      <c r="N18" s="33"/>
      <c r="O18" s="33"/>
      <c r="P18" s="102">
        <f>(M11*V11)+AI40</f>
        <v>5926.2030000000004</v>
      </c>
      <c r="Q18" s="103"/>
      <c r="R18" s="104"/>
      <c r="S18" s="111">
        <f>SUM(P18+P11)</f>
        <v>8502.8130000000001</v>
      </c>
      <c r="T18" s="112"/>
      <c r="U18" s="113"/>
      <c r="V18" s="35"/>
      <c r="W18" s="35"/>
      <c r="X18" s="35"/>
      <c r="Y18" s="195"/>
      <c r="Z18" s="196"/>
      <c r="AA18" s="197"/>
    </row>
    <row r="19" spans="10:27" ht="14.25" customHeight="1" thickBot="1">
      <c r="J19" s="189"/>
      <c r="K19" s="190"/>
      <c r="L19" s="191"/>
      <c r="M19" s="33"/>
      <c r="N19" s="33"/>
      <c r="O19" s="33"/>
      <c r="P19" s="105"/>
      <c r="Q19" s="106"/>
      <c r="R19" s="107"/>
      <c r="S19" s="114"/>
      <c r="T19" s="115"/>
      <c r="U19" s="116"/>
      <c r="V19" s="35"/>
      <c r="W19" s="35"/>
      <c r="X19" s="35"/>
      <c r="Y19" s="198"/>
      <c r="Z19" s="199"/>
      <c r="AA19" s="200"/>
    </row>
    <row r="20" spans="10:27" ht="14.25" customHeight="1" thickTop="1" thickBot="1">
      <c r="J20" s="18"/>
      <c r="K20" s="33"/>
      <c r="L20" s="33"/>
      <c r="M20" s="33"/>
      <c r="N20" s="33"/>
      <c r="O20" s="33"/>
      <c r="P20" s="108"/>
      <c r="Q20" s="109"/>
      <c r="R20" s="110"/>
      <c r="S20" s="117"/>
      <c r="T20" s="118"/>
      <c r="U20" s="119"/>
      <c r="V20" s="35"/>
      <c r="W20" s="35"/>
      <c r="X20" s="35"/>
      <c r="Y20" s="35"/>
      <c r="Z20" s="34"/>
      <c r="AA20" s="34"/>
    </row>
    <row r="21" spans="10:27" ht="14.25" customHeight="1" thickTop="1" thickBot="1"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5"/>
      <c r="U21" s="35"/>
      <c r="V21" s="35"/>
      <c r="W21" s="35"/>
      <c r="X21" s="35"/>
      <c r="Y21" s="35"/>
      <c r="Z21" s="34"/>
      <c r="AA21" s="34"/>
    </row>
    <row r="22" spans="10:27" ht="14.25" customHeight="1" thickTop="1">
      <c r="J22" s="18"/>
      <c r="K22" s="33"/>
      <c r="L22" s="33"/>
      <c r="M22" s="33"/>
      <c r="N22" s="33"/>
      <c r="O22" s="33"/>
      <c r="P22" s="93" t="s">
        <v>8</v>
      </c>
      <c r="Q22" s="94"/>
      <c r="R22" s="94"/>
      <c r="S22" s="94"/>
      <c r="T22" s="94"/>
      <c r="U22" s="95"/>
      <c r="V22" s="35"/>
      <c r="W22" s="35"/>
      <c r="X22" s="35"/>
      <c r="Y22" s="35"/>
      <c r="Z22" s="34"/>
      <c r="AA22" s="34"/>
    </row>
    <row r="23" spans="10:27" ht="14.25" customHeight="1">
      <c r="J23" s="18"/>
      <c r="K23" s="33"/>
      <c r="L23" s="33"/>
      <c r="M23" s="33"/>
      <c r="N23" s="33"/>
      <c r="O23" s="33"/>
      <c r="P23" s="96"/>
      <c r="Q23" s="97"/>
      <c r="R23" s="97"/>
      <c r="S23" s="97"/>
      <c r="T23" s="97"/>
      <c r="U23" s="98"/>
      <c r="V23" s="35"/>
      <c r="W23" s="35"/>
      <c r="X23" s="35"/>
      <c r="Y23" s="35"/>
      <c r="Z23" s="34"/>
      <c r="AA23" s="34"/>
    </row>
    <row r="24" spans="10:27" ht="14.25" customHeight="1" thickBot="1">
      <c r="J24" s="18"/>
      <c r="K24" s="33"/>
      <c r="L24" s="33"/>
      <c r="M24" s="33"/>
      <c r="N24" s="33"/>
      <c r="O24" s="33"/>
      <c r="P24" s="99"/>
      <c r="Q24" s="100"/>
      <c r="R24" s="100"/>
      <c r="S24" s="100"/>
      <c r="T24" s="100"/>
      <c r="U24" s="101"/>
      <c r="V24" s="35"/>
      <c r="W24" s="35"/>
      <c r="X24" s="35"/>
      <c r="Y24" s="35"/>
      <c r="Z24" s="34"/>
      <c r="AA24" s="34"/>
    </row>
    <row r="25" spans="10:27" ht="14.25" customHeight="1" thickTop="1">
      <c r="J25" s="18"/>
      <c r="K25" s="33"/>
      <c r="L25" s="33"/>
      <c r="M25" s="33"/>
      <c r="N25" s="33"/>
      <c r="O25" s="33"/>
      <c r="P25" s="120">
        <v>1000</v>
      </c>
      <c r="Q25" s="121"/>
      <c r="R25" s="121"/>
      <c r="S25" s="121"/>
      <c r="T25" s="121"/>
      <c r="U25" s="122"/>
      <c r="V25" s="35"/>
      <c r="W25" s="35"/>
      <c r="X25" s="35"/>
      <c r="Y25" s="35"/>
      <c r="Z25" s="34"/>
      <c r="AA25" s="34"/>
    </row>
    <row r="26" spans="10:27" ht="14.25" customHeight="1">
      <c r="J26" s="18"/>
      <c r="K26" s="33"/>
      <c r="L26" s="33"/>
      <c r="M26" s="33"/>
      <c r="N26" s="33"/>
      <c r="O26" s="33"/>
      <c r="P26" s="123"/>
      <c r="Q26" s="124"/>
      <c r="R26" s="124"/>
      <c r="S26" s="124"/>
      <c r="T26" s="124"/>
      <c r="U26" s="125"/>
      <c r="V26" s="35"/>
      <c r="W26" s="35"/>
      <c r="X26" s="35"/>
      <c r="Y26" s="35"/>
      <c r="Z26" s="34"/>
      <c r="AA26" s="34"/>
    </row>
    <row r="27" spans="10:27" ht="14.25" customHeight="1" thickBot="1">
      <c r="J27" s="18"/>
      <c r="K27" s="33"/>
      <c r="L27" s="33"/>
      <c r="M27" s="33"/>
      <c r="N27" s="33"/>
      <c r="O27" s="33"/>
      <c r="P27" s="126"/>
      <c r="Q27" s="127"/>
      <c r="R27" s="127"/>
      <c r="S27" s="127"/>
      <c r="T27" s="127"/>
      <c r="U27" s="128"/>
      <c r="V27" s="35"/>
      <c r="W27" s="35"/>
      <c r="X27" s="35"/>
      <c r="Y27" s="35"/>
      <c r="Z27" s="34"/>
      <c r="AA27" s="34"/>
    </row>
    <row r="28" spans="10:27" ht="14.25" customHeight="1" thickTop="1" thickBot="1"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5"/>
      <c r="U28" s="35"/>
      <c r="V28" s="35"/>
      <c r="W28" s="35"/>
      <c r="X28" s="35"/>
      <c r="Y28" s="35"/>
      <c r="Z28" s="34"/>
      <c r="AA28" s="34"/>
    </row>
    <row r="29" spans="10:27" ht="14.25" customHeight="1" thickTop="1">
      <c r="J29" s="18"/>
      <c r="K29" s="33"/>
      <c r="L29" s="33"/>
      <c r="M29" s="33"/>
      <c r="N29" s="33"/>
      <c r="O29" s="33"/>
      <c r="P29" s="93" t="s">
        <v>12</v>
      </c>
      <c r="Q29" s="94"/>
      <c r="R29" s="95"/>
      <c r="S29" s="93" t="s">
        <v>13</v>
      </c>
      <c r="T29" s="94"/>
      <c r="U29" s="95"/>
      <c r="V29" s="35"/>
      <c r="W29" s="35"/>
      <c r="X29" s="35"/>
      <c r="Y29" s="35"/>
      <c r="Z29" s="34"/>
      <c r="AA29" s="34"/>
    </row>
    <row r="30" spans="10:27" ht="14.25" customHeight="1">
      <c r="J30" s="18"/>
      <c r="K30" s="33"/>
      <c r="L30" s="33"/>
      <c r="M30" s="33"/>
      <c r="N30" s="33"/>
      <c r="O30" s="33"/>
      <c r="P30" s="96"/>
      <c r="Q30" s="97"/>
      <c r="R30" s="98"/>
      <c r="S30" s="96"/>
      <c r="T30" s="97"/>
      <c r="U30" s="98"/>
      <c r="V30" s="35"/>
      <c r="W30" s="35"/>
      <c r="X30" s="35"/>
      <c r="Y30" s="35"/>
      <c r="Z30" s="34"/>
      <c r="AA30" s="34"/>
    </row>
    <row r="31" spans="10:27" ht="14.25" customHeight="1" thickBot="1">
      <c r="J31" s="18"/>
      <c r="K31" s="33"/>
      <c r="L31" s="33"/>
      <c r="M31" s="33"/>
      <c r="N31" s="33"/>
      <c r="O31" s="33"/>
      <c r="P31" s="99"/>
      <c r="Q31" s="100"/>
      <c r="R31" s="101"/>
      <c r="S31" s="99"/>
      <c r="T31" s="100"/>
      <c r="U31" s="101"/>
      <c r="V31" s="35"/>
      <c r="W31" s="35"/>
      <c r="X31" s="35"/>
      <c r="Y31" s="35"/>
      <c r="Z31" s="34"/>
      <c r="AA31" s="34"/>
    </row>
    <row r="32" spans="10:27" ht="14.25" customHeight="1" thickTop="1">
      <c r="J32" s="18"/>
      <c r="K32" s="33"/>
      <c r="L32" s="33"/>
      <c r="M32" s="33"/>
      <c r="N32" s="33"/>
      <c r="O32" s="33"/>
      <c r="P32" s="102">
        <f>SUM(P18-P25)</f>
        <v>4926.2030000000004</v>
      </c>
      <c r="Q32" s="103"/>
      <c r="R32" s="104"/>
      <c r="S32" s="111">
        <f>SUM(S18-P25)</f>
        <v>7502.8130000000001</v>
      </c>
      <c r="T32" s="112"/>
      <c r="U32" s="113"/>
      <c r="V32" s="35"/>
      <c r="W32" s="35"/>
      <c r="X32" s="35"/>
      <c r="Y32" s="35"/>
      <c r="Z32" s="34"/>
      <c r="AA32" s="34"/>
    </row>
    <row r="33" spans="2:38" ht="14.25" customHeight="1">
      <c r="J33" s="18"/>
      <c r="K33" s="33"/>
      <c r="L33" s="33"/>
      <c r="M33" s="33"/>
      <c r="N33" s="33"/>
      <c r="O33" s="33"/>
      <c r="P33" s="105"/>
      <c r="Q33" s="106"/>
      <c r="R33" s="107"/>
      <c r="S33" s="114"/>
      <c r="T33" s="115"/>
      <c r="U33" s="116"/>
      <c r="V33" s="35"/>
      <c r="W33" s="35"/>
      <c r="X33" s="35"/>
      <c r="Y33" s="35"/>
      <c r="Z33" s="34"/>
      <c r="AA33" s="34"/>
    </row>
    <row r="34" spans="2:38" ht="14.25" customHeight="1" thickBot="1">
      <c r="J34" s="18"/>
      <c r="K34" s="33"/>
      <c r="L34" s="33"/>
      <c r="M34" s="33"/>
      <c r="N34" s="33"/>
      <c r="O34" s="33"/>
      <c r="P34" s="108"/>
      <c r="Q34" s="109"/>
      <c r="R34" s="110"/>
      <c r="S34" s="117"/>
      <c r="T34" s="118"/>
      <c r="U34" s="119"/>
      <c r="V34" s="35"/>
      <c r="W34" s="35"/>
      <c r="X34" s="35"/>
      <c r="Y34" s="35"/>
      <c r="Z34" s="34"/>
      <c r="AA34" s="34"/>
    </row>
    <row r="35" spans="2:38" ht="14.25" customHeight="1" thickTop="1" thickBot="1"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38" ht="30" customHeight="1" thickTop="1" thickBo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I36" s="13">
        <f>SUM(C36:AG36)</f>
        <v>0</v>
      </c>
      <c r="AJ36" s="15" t="s">
        <v>5</v>
      </c>
    </row>
    <row r="37" spans="2:38" ht="30" customHeight="1" thickTop="1" thickBot="1">
      <c r="B37" s="2" t="s">
        <v>0</v>
      </c>
      <c r="C37" s="20">
        <v>27</v>
      </c>
      <c r="D37" s="21">
        <v>28</v>
      </c>
      <c r="E37" s="21">
        <v>29</v>
      </c>
      <c r="F37" s="38">
        <v>30</v>
      </c>
      <c r="G37" s="21">
        <v>31</v>
      </c>
      <c r="H37" s="21">
        <v>1</v>
      </c>
      <c r="I37" s="21">
        <v>2</v>
      </c>
      <c r="J37" s="21">
        <v>3</v>
      </c>
      <c r="K37" s="21">
        <v>4</v>
      </c>
      <c r="L37" s="21">
        <v>5</v>
      </c>
      <c r="M37" s="38">
        <v>6</v>
      </c>
      <c r="N37" s="21">
        <v>7</v>
      </c>
      <c r="O37" s="21">
        <v>8</v>
      </c>
      <c r="P37" s="21">
        <v>9</v>
      </c>
      <c r="Q37" s="21">
        <v>10</v>
      </c>
      <c r="R37" s="21">
        <v>11</v>
      </c>
      <c r="S37" s="21">
        <v>12</v>
      </c>
      <c r="T37" s="38">
        <v>13</v>
      </c>
      <c r="U37" s="21">
        <v>14</v>
      </c>
      <c r="V37" s="21">
        <v>15</v>
      </c>
      <c r="W37" s="21">
        <v>16</v>
      </c>
      <c r="X37" s="21">
        <v>17</v>
      </c>
      <c r="Y37" s="21">
        <v>18</v>
      </c>
      <c r="Z37" s="21">
        <v>19</v>
      </c>
      <c r="AA37" s="38">
        <v>20</v>
      </c>
      <c r="AB37" s="21">
        <v>21</v>
      </c>
      <c r="AC37" s="21">
        <v>22</v>
      </c>
      <c r="AD37" s="21">
        <v>23</v>
      </c>
      <c r="AE37" s="21">
        <v>24</v>
      </c>
      <c r="AF37" s="21">
        <v>25</v>
      </c>
      <c r="AG37" s="29">
        <v>26</v>
      </c>
      <c r="AL37" s="5"/>
    </row>
    <row r="38" spans="2:38" ht="30" customHeight="1" thickTop="1" thickBot="1">
      <c r="B38" s="3" t="s">
        <v>1</v>
      </c>
      <c r="C38" s="22">
        <v>1</v>
      </c>
      <c r="D38" s="23">
        <v>1</v>
      </c>
      <c r="E38" s="23">
        <v>1</v>
      </c>
      <c r="F38" s="39">
        <v>1</v>
      </c>
      <c r="G38" s="23">
        <v>0</v>
      </c>
      <c r="H38" s="23">
        <v>1</v>
      </c>
      <c r="I38" s="23">
        <v>1</v>
      </c>
      <c r="J38" s="23">
        <v>1</v>
      </c>
      <c r="K38" s="23">
        <v>1</v>
      </c>
      <c r="L38" s="23">
        <v>1</v>
      </c>
      <c r="M38" s="39">
        <v>1</v>
      </c>
      <c r="N38" s="23">
        <v>1</v>
      </c>
      <c r="O38" s="23">
        <v>1</v>
      </c>
      <c r="P38" s="23">
        <v>1</v>
      </c>
      <c r="Q38" s="23">
        <v>1</v>
      </c>
      <c r="R38" s="23">
        <v>1</v>
      </c>
      <c r="S38" s="23">
        <v>1</v>
      </c>
      <c r="T38" s="39">
        <v>1</v>
      </c>
      <c r="U38" s="23">
        <v>1</v>
      </c>
      <c r="V38" s="23">
        <v>1</v>
      </c>
      <c r="W38" s="23">
        <v>1</v>
      </c>
      <c r="X38" s="23">
        <v>1</v>
      </c>
      <c r="Y38" s="23">
        <v>1</v>
      </c>
      <c r="Z38" s="23">
        <v>1</v>
      </c>
      <c r="AA38" s="39">
        <v>1</v>
      </c>
      <c r="AB38" s="23">
        <v>1</v>
      </c>
      <c r="AC38" s="23">
        <v>1</v>
      </c>
      <c r="AD38" s="23">
        <v>1</v>
      </c>
      <c r="AE38" s="23">
        <v>1</v>
      </c>
      <c r="AF38" s="23">
        <v>1</v>
      </c>
      <c r="AG38" s="30">
        <v>1</v>
      </c>
      <c r="AI38" s="4">
        <f>SUM(C38:AG38)</f>
        <v>30</v>
      </c>
      <c r="AJ38" s="15" t="s">
        <v>3</v>
      </c>
    </row>
    <row r="39" spans="2:38" ht="30" customHeight="1" thickTop="1" thickBot="1">
      <c r="B39" s="7" t="s">
        <v>2</v>
      </c>
      <c r="C39" s="24">
        <v>1</v>
      </c>
      <c r="D39" s="25">
        <v>1</v>
      </c>
      <c r="E39" s="25">
        <v>1</v>
      </c>
      <c r="F39" s="40">
        <v>3</v>
      </c>
      <c r="G39" s="25">
        <v>1</v>
      </c>
      <c r="H39" s="25">
        <v>1</v>
      </c>
      <c r="I39" s="25">
        <v>1</v>
      </c>
      <c r="J39" s="25">
        <v>1</v>
      </c>
      <c r="K39" s="25">
        <v>1</v>
      </c>
      <c r="L39" s="25">
        <v>1</v>
      </c>
      <c r="M39" s="40">
        <v>3</v>
      </c>
      <c r="N39" s="25">
        <v>1</v>
      </c>
      <c r="O39" s="25">
        <v>1</v>
      </c>
      <c r="P39" s="25">
        <v>1</v>
      </c>
      <c r="Q39" s="25">
        <v>1</v>
      </c>
      <c r="R39" s="25">
        <v>1</v>
      </c>
      <c r="S39" s="25">
        <v>1</v>
      </c>
      <c r="T39" s="40">
        <v>3</v>
      </c>
      <c r="U39" s="25">
        <v>1</v>
      </c>
      <c r="V39" s="25">
        <v>1</v>
      </c>
      <c r="W39" s="25">
        <v>1</v>
      </c>
      <c r="X39" s="25">
        <v>1</v>
      </c>
      <c r="Y39" s="25">
        <v>1</v>
      </c>
      <c r="Z39" s="25">
        <v>1</v>
      </c>
      <c r="AA39" s="40">
        <v>3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31">
        <v>1</v>
      </c>
      <c r="AI39" s="6">
        <f>SUM(C39:AG39)</f>
        <v>39</v>
      </c>
      <c r="AJ39" s="17" t="s">
        <v>6</v>
      </c>
    </row>
    <row r="40" spans="2:38" ht="30" customHeight="1" thickTop="1" thickBot="1">
      <c r="B40" s="8"/>
      <c r="C40" s="26"/>
      <c r="D40" s="27"/>
      <c r="E40" s="27"/>
      <c r="F40" s="41"/>
      <c r="G40" s="27"/>
      <c r="H40" s="27"/>
      <c r="I40" s="27"/>
      <c r="J40" s="27"/>
      <c r="K40" s="27"/>
      <c r="L40" s="27"/>
      <c r="M40" s="41"/>
      <c r="N40" s="27"/>
      <c r="O40" s="27"/>
      <c r="P40" s="27"/>
      <c r="Q40" s="27"/>
      <c r="R40" s="27"/>
      <c r="S40" s="27"/>
      <c r="T40" s="41"/>
      <c r="U40" s="27"/>
      <c r="V40" s="27"/>
      <c r="W40" s="27"/>
      <c r="X40" s="27"/>
      <c r="Y40" s="27"/>
      <c r="Z40" s="27"/>
      <c r="AA40" s="41"/>
      <c r="AB40" s="27"/>
      <c r="AC40" s="27"/>
      <c r="AD40" s="27"/>
      <c r="AE40" s="27"/>
      <c r="AF40" s="27"/>
      <c r="AG40" s="28"/>
      <c r="AI40" s="9">
        <f>SUM(C40:AG40)</f>
        <v>0</v>
      </c>
      <c r="AJ40" s="16" t="s">
        <v>7</v>
      </c>
    </row>
    <row r="41" spans="2:38" ht="14.25" customHeight="1" thickTop="1"/>
  </sheetData>
  <mergeCells count="21">
    <mergeCell ref="J14:L16"/>
    <mergeCell ref="J17:L19"/>
    <mergeCell ref="Y14:AA16"/>
    <mergeCell ref="Y17:AA19"/>
    <mergeCell ref="J2:AA5"/>
    <mergeCell ref="M8:O10"/>
    <mergeCell ref="V8:X10"/>
    <mergeCell ref="M11:O13"/>
    <mergeCell ref="V11:X13"/>
    <mergeCell ref="P8:U10"/>
    <mergeCell ref="P11:U13"/>
    <mergeCell ref="P15:R17"/>
    <mergeCell ref="S15:U17"/>
    <mergeCell ref="P18:R20"/>
    <mergeCell ref="S18:U20"/>
    <mergeCell ref="P22:U24"/>
    <mergeCell ref="P25:U27"/>
    <mergeCell ref="P29:R31"/>
    <mergeCell ref="S29:U31"/>
    <mergeCell ref="P32:R34"/>
    <mergeCell ref="S32:U3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1"/>
  <sheetViews>
    <sheetView showGridLines="0" zoomScale="50" zoomScaleNormal="50" workbookViewId="0">
      <selection activeCell="C36" sqref="C36"/>
    </sheetView>
  </sheetViews>
  <sheetFormatPr defaultColWidth="9" defaultRowHeight="14.25" customHeight="1"/>
  <cols>
    <col min="1" max="1" width="5.6640625" style="1" customWidth="1"/>
    <col min="2" max="2" width="32.77734375" style="1" customWidth="1"/>
    <col min="3" max="33" width="9" style="1"/>
    <col min="34" max="34" width="5.21875" style="1" customWidth="1"/>
    <col min="35" max="35" width="12.44140625" style="1" customWidth="1"/>
    <col min="36" max="36" width="11.44140625" style="1" customWidth="1"/>
    <col min="37" max="37" width="4.44140625" style="1" customWidth="1"/>
    <col min="38" max="38" width="5.21875" style="1" customWidth="1"/>
    <col min="39" max="16384" width="9" style="1"/>
  </cols>
  <sheetData>
    <row r="1" spans="10:27" ht="14.25" customHeight="1" thickBot="1"/>
    <row r="2" spans="10:27" ht="14.25" customHeight="1" thickTop="1">
      <c r="J2" s="138" t="s">
        <v>24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</row>
    <row r="3" spans="10:27" ht="14.25" customHeight="1"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</row>
    <row r="4" spans="10:27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10:27" ht="14.25" customHeight="1" thickBot="1"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</row>
    <row r="6" spans="10:27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10:27" ht="14.25" customHeight="1" thickBo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10:27" ht="14.25" customHeight="1" thickTop="1">
      <c r="J8" s="32"/>
      <c r="K8" s="35"/>
      <c r="L8" s="35"/>
      <c r="M8" s="93" t="s">
        <v>4</v>
      </c>
      <c r="N8" s="94"/>
      <c r="O8" s="95"/>
      <c r="P8" s="93" t="s">
        <v>14</v>
      </c>
      <c r="Q8" s="94"/>
      <c r="R8" s="94"/>
      <c r="S8" s="94"/>
      <c r="T8" s="94"/>
      <c r="U8" s="95"/>
      <c r="V8" s="93" t="s">
        <v>11</v>
      </c>
      <c r="W8" s="94"/>
      <c r="X8" s="95"/>
      <c r="Y8" s="35"/>
      <c r="Z8" s="34"/>
      <c r="AA8" s="34"/>
    </row>
    <row r="9" spans="10:27" ht="14.25" customHeight="1">
      <c r="J9" s="32"/>
      <c r="K9" s="35"/>
      <c r="L9" s="35"/>
      <c r="M9" s="96"/>
      <c r="N9" s="97"/>
      <c r="O9" s="98"/>
      <c r="P9" s="96"/>
      <c r="Q9" s="97"/>
      <c r="R9" s="97"/>
      <c r="S9" s="97"/>
      <c r="T9" s="97"/>
      <c r="U9" s="98"/>
      <c r="V9" s="96"/>
      <c r="W9" s="97"/>
      <c r="X9" s="98"/>
      <c r="Y9" s="35"/>
      <c r="Z9" s="34"/>
      <c r="AA9" s="34"/>
    </row>
    <row r="10" spans="10:27" ht="14.25" customHeight="1" thickBot="1">
      <c r="J10" s="32"/>
      <c r="K10" s="35"/>
      <c r="L10" s="35"/>
      <c r="M10" s="99"/>
      <c r="N10" s="100"/>
      <c r="O10" s="101"/>
      <c r="P10" s="99"/>
      <c r="Q10" s="100"/>
      <c r="R10" s="100"/>
      <c r="S10" s="100"/>
      <c r="T10" s="100"/>
      <c r="U10" s="101"/>
      <c r="V10" s="99"/>
      <c r="W10" s="100"/>
      <c r="X10" s="101"/>
      <c r="Y10" s="35"/>
      <c r="Z10" s="34"/>
      <c r="AA10" s="34"/>
    </row>
    <row r="11" spans="10:27" ht="14.25" customHeight="1" thickTop="1">
      <c r="J11" s="32"/>
      <c r="K11" s="35"/>
      <c r="L11" s="35"/>
      <c r="M11" s="147">
        <f>SUM(AI38:AI39)</f>
        <v>63</v>
      </c>
      <c r="N11" s="148"/>
      <c r="O11" s="149"/>
      <c r="P11" s="165">
        <f>SUM('1'!S12:U14)</f>
        <v>2576.61</v>
      </c>
      <c r="Q11" s="166"/>
      <c r="R11" s="166"/>
      <c r="S11" s="166"/>
      <c r="T11" s="166"/>
      <c r="U11" s="167"/>
      <c r="V11" s="201">
        <f>SUM(P11/30)</f>
        <v>85.887</v>
      </c>
      <c r="W11" s="202"/>
      <c r="X11" s="203"/>
      <c r="Y11" s="35"/>
      <c r="Z11" s="34"/>
      <c r="AA11" s="34"/>
    </row>
    <row r="12" spans="10:27" ht="14.25" customHeight="1">
      <c r="J12" s="32"/>
      <c r="K12" s="35"/>
      <c r="L12" s="35"/>
      <c r="M12" s="150"/>
      <c r="N12" s="151"/>
      <c r="O12" s="152"/>
      <c r="P12" s="168"/>
      <c r="Q12" s="169"/>
      <c r="R12" s="169"/>
      <c r="S12" s="169"/>
      <c r="T12" s="169"/>
      <c r="U12" s="170"/>
      <c r="V12" s="204"/>
      <c r="W12" s="205"/>
      <c r="X12" s="206"/>
      <c r="Y12" s="35"/>
      <c r="Z12" s="34"/>
      <c r="AA12" s="34"/>
    </row>
    <row r="13" spans="10:27" ht="14.25" customHeight="1" thickBot="1">
      <c r="J13" s="32"/>
      <c r="K13" s="35"/>
      <c r="L13" s="35"/>
      <c r="M13" s="153"/>
      <c r="N13" s="154"/>
      <c r="O13" s="155"/>
      <c r="P13" s="171"/>
      <c r="Q13" s="172"/>
      <c r="R13" s="172"/>
      <c r="S13" s="172"/>
      <c r="T13" s="172"/>
      <c r="U13" s="173"/>
      <c r="V13" s="207"/>
      <c r="W13" s="208"/>
      <c r="X13" s="209"/>
      <c r="Y13" s="35"/>
      <c r="Z13" s="34"/>
      <c r="AA13" s="34"/>
    </row>
    <row r="14" spans="10:27" ht="14.25" customHeight="1" thickTop="1" thickBot="1">
      <c r="J14" s="174" t="s">
        <v>27</v>
      </c>
      <c r="K14" s="175"/>
      <c r="L14" s="176"/>
      <c r="M14" s="33"/>
      <c r="N14" s="33"/>
      <c r="O14" s="33"/>
      <c r="P14" s="33"/>
      <c r="Q14" s="33"/>
      <c r="R14" s="33"/>
      <c r="S14" s="33"/>
      <c r="T14" s="35"/>
      <c r="U14" s="35"/>
      <c r="V14" s="35"/>
      <c r="W14" s="35"/>
      <c r="X14" s="35"/>
      <c r="Y14" s="93" t="s">
        <v>28</v>
      </c>
      <c r="Z14" s="94"/>
      <c r="AA14" s="95"/>
    </row>
    <row r="15" spans="10:27" ht="14.25" customHeight="1" thickTop="1">
      <c r="J15" s="177"/>
      <c r="K15" s="178"/>
      <c r="L15" s="179"/>
      <c r="M15" s="33"/>
      <c r="N15" s="33"/>
      <c r="O15" s="33"/>
      <c r="P15" s="93" t="s">
        <v>12</v>
      </c>
      <c r="Q15" s="94"/>
      <c r="R15" s="95"/>
      <c r="S15" s="93" t="s">
        <v>13</v>
      </c>
      <c r="T15" s="94"/>
      <c r="U15" s="95"/>
      <c r="V15" s="35"/>
      <c r="W15" s="35"/>
      <c r="X15" s="35"/>
      <c r="Y15" s="96"/>
      <c r="Z15" s="97"/>
      <c r="AA15" s="98"/>
    </row>
    <row r="16" spans="10:27" ht="14.25" customHeight="1" thickBot="1">
      <c r="J16" s="180"/>
      <c r="K16" s="181"/>
      <c r="L16" s="182"/>
      <c r="M16" s="33"/>
      <c r="N16" s="33"/>
      <c r="O16" s="33"/>
      <c r="P16" s="96"/>
      <c r="Q16" s="97"/>
      <c r="R16" s="98"/>
      <c r="S16" s="96"/>
      <c r="T16" s="97"/>
      <c r="U16" s="98"/>
      <c r="V16" s="35"/>
      <c r="W16" s="35"/>
      <c r="X16" s="35"/>
      <c r="Y16" s="99"/>
      <c r="Z16" s="100"/>
      <c r="AA16" s="101"/>
    </row>
    <row r="17" spans="10:27" ht="14.25" customHeight="1" thickTop="1" thickBot="1">
      <c r="J17" s="183">
        <f>SUM('1'!AI37+'2'!AI36+'3'!AI36+'4'!AI36+'5'!AI36+'6'!AI36+'7'!AI36+'8'!AI36+'9'!AI36+'10'!AI36+'11'!AI36+'12'!AI36)</f>
        <v>0</v>
      </c>
      <c r="K17" s="184"/>
      <c r="L17" s="185"/>
      <c r="M17" s="33"/>
      <c r="N17" s="33"/>
      <c r="O17" s="33"/>
      <c r="P17" s="99"/>
      <c r="Q17" s="100"/>
      <c r="R17" s="101"/>
      <c r="S17" s="99"/>
      <c r="T17" s="100"/>
      <c r="U17" s="101"/>
      <c r="V17" s="35"/>
      <c r="W17" s="35"/>
      <c r="X17" s="35"/>
      <c r="Y17" s="192">
        <f>SUM(30-J17)</f>
        <v>30</v>
      </c>
      <c r="Z17" s="193"/>
      <c r="AA17" s="194"/>
    </row>
    <row r="18" spans="10:27" ht="14.25" customHeight="1" thickTop="1">
      <c r="J18" s="186"/>
      <c r="K18" s="187"/>
      <c r="L18" s="188"/>
      <c r="M18" s="33"/>
      <c r="N18" s="33"/>
      <c r="O18" s="33"/>
      <c r="P18" s="102">
        <f>(M11*V11)+AI40</f>
        <v>5410.8810000000003</v>
      </c>
      <c r="Q18" s="103"/>
      <c r="R18" s="104"/>
      <c r="S18" s="111">
        <f>SUM(P18+P11)</f>
        <v>7987.491</v>
      </c>
      <c r="T18" s="112"/>
      <c r="U18" s="113"/>
      <c r="V18" s="35"/>
      <c r="W18" s="35"/>
      <c r="X18" s="35"/>
      <c r="Y18" s="195"/>
      <c r="Z18" s="196"/>
      <c r="AA18" s="197"/>
    </row>
    <row r="19" spans="10:27" ht="14.25" customHeight="1" thickBot="1">
      <c r="J19" s="189"/>
      <c r="K19" s="190"/>
      <c r="L19" s="191"/>
      <c r="M19" s="33"/>
      <c r="N19" s="33"/>
      <c r="O19" s="33"/>
      <c r="P19" s="105"/>
      <c r="Q19" s="106"/>
      <c r="R19" s="107"/>
      <c r="S19" s="114"/>
      <c r="T19" s="115"/>
      <c r="U19" s="116"/>
      <c r="V19" s="35"/>
      <c r="W19" s="35"/>
      <c r="X19" s="35"/>
      <c r="Y19" s="198"/>
      <c r="Z19" s="199"/>
      <c r="AA19" s="200"/>
    </row>
    <row r="20" spans="10:27" ht="14.25" customHeight="1" thickTop="1" thickBot="1">
      <c r="J20" s="18"/>
      <c r="K20" s="33"/>
      <c r="L20" s="33"/>
      <c r="M20" s="33"/>
      <c r="N20" s="33"/>
      <c r="O20" s="33"/>
      <c r="P20" s="108"/>
      <c r="Q20" s="109"/>
      <c r="R20" s="110"/>
      <c r="S20" s="117"/>
      <c r="T20" s="118"/>
      <c r="U20" s="119"/>
      <c r="V20" s="35"/>
      <c r="W20" s="35"/>
      <c r="X20" s="35"/>
      <c r="Y20" s="35"/>
      <c r="Z20" s="34"/>
      <c r="AA20" s="34"/>
    </row>
    <row r="21" spans="10:27" ht="14.25" customHeight="1" thickTop="1" thickBot="1"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5"/>
      <c r="U21" s="35"/>
      <c r="V21" s="35"/>
      <c r="W21" s="35"/>
      <c r="X21" s="35"/>
      <c r="Y21" s="35"/>
      <c r="Z21" s="34"/>
      <c r="AA21" s="34"/>
    </row>
    <row r="22" spans="10:27" ht="14.25" customHeight="1" thickTop="1">
      <c r="J22" s="18"/>
      <c r="K22" s="33"/>
      <c r="L22" s="33"/>
      <c r="M22" s="33"/>
      <c r="N22" s="33"/>
      <c r="O22" s="33"/>
      <c r="P22" s="93" t="s">
        <v>8</v>
      </c>
      <c r="Q22" s="94"/>
      <c r="R22" s="94"/>
      <c r="S22" s="94"/>
      <c r="T22" s="94"/>
      <c r="U22" s="95"/>
      <c r="V22" s="35"/>
      <c r="W22" s="35"/>
      <c r="X22" s="35"/>
      <c r="Y22" s="35"/>
      <c r="Z22" s="34"/>
      <c r="AA22" s="34"/>
    </row>
    <row r="23" spans="10:27" ht="14.25" customHeight="1">
      <c r="J23" s="18"/>
      <c r="K23" s="33"/>
      <c r="L23" s="33"/>
      <c r="M23" s="33"/>
      <c r="N23" s="33"/>
      <c r="O23" s="33"/>
      <c r="P23" s="96"/>
      <c r="Q23" s="97"/>
      <c r="R23" s="97"/>
      <c r="S23" s="97"/>
      <c r="T23" s="97"/>
      <c r="U23" s="98"/>
      <c r="V23" s="35"/>
      <c r="W23" s="35"/>
      <c r="X23" s="35"/>
      <c r="Y23" s="35"/>
      <c r="Z23" s="34"/>
      <c r="AA23" s="34"/>
    </row>
    <row r="24" spans="10:27" ht="14.25" customHeight="1" thickBot="1">
      <c r="J24" s="18"/>
      <c r="K24" s="33"/>
      <c r="L24" s="33"/>
      <c r="M24" s="33"/>
      <c r="N24" s="33"/>
      <c r="O24" s="33"/>
      <c r="P24" s="99"/>
      <c r="Q24" s="100"/>
      <c r="R24" s="100"/>
      <c r="S24" s="100"/>
      <c r="T24" s="100"/>
      <c r="U24" s="101"/>
      <c r="V24" s="35"/>
      <c r="W24" s="35"/>
      <c r="X24" s="35"/>
      <c r="Y24" s="35"/>
      <c r="Z24" s="34"/>
      <c r="AA24" s="34"/>
    </row>
    <row r="25" spans="10:27" ht="14.25" customHeight="1" thickTop="1">
      <c r="J25" s="18"/>
      <c r="K25" s="33"/>
      <c r="L25" s="33"/>
      <c r="M25" s="33"/>
      <c r="N25" s="33"/>
      <c r="O25" s="33"/>
      <c r="P25" s="120">
        <v>1000</v>
      </c>
      <c r="Q25" s="121"/>
      <c r="R25" s="121"/>
      <c r="S25" s="121"/>
      <c r="T25" s="121"/>
      <c r="U25" s="122"/>
      <c r="V25" s="35"/>
      <c r="W25" s="35"/>
      <c r="X25" s="35"/>
      <c r="Y25" s="35"/>
      <c r="Z25" s="34"/>
      <c r="AA25" s="34"/>
    </row>
    <row r="26" spans="10:27" ht="14.25" customHeight="1">
      <c r="J26" s="18"/>
      <c r="K26" s="33"/>
      <c r="L26" s="33"/>
      <c r="M26" s="33"/>
      <c r="N26" s="33"/>
      <c r="O26" s="33"/>
      <c r="P26" s="123"/>
      <c r="Q26" s="124"/>
      <c r="R26" s="124"/>
      <c r="S26" s="124"/>
      <c r="T26" s="124"/>
      <c r="U26" s="125"/>
      <c r="V26" s="35"/>
      <c r="W26" s="35"/>
      <c r="X26" s="35"/>
      <c r="Y26" s="35"/>
      <c r="Z26" s="34"/>
      <c r="AA26" s="34"/>
    </row>
    <row r="27" spans="10:27" ht="14.25" customHeight="1" thickBot="1">
      <c r="J27" s="18"/>
      <c r="K27" s="33"/>
      <c r="L27" s="33"/>
      <c r="M27" s="33"/>
      <c r="N27" s="33"/>
      <c r="O27" s="33"/>
      <c r="P27" s="126"/>
      <c r="Q27" s="127"/>
      <c r="R27" s="127"/>
      <c r="S27" s="127"/>
      <c r="T27" s="127"/>
      <c r="U27" s="128"/>
      <c r="V27" s="35"/>
      <c r="W27" s="35"/>
      <c r="X27" s="35"/>
      <c r="Y27" s="35"/>
      <c r="Z27" s="34"/>
      <c r="AA27" s="34"/>
    </row>
    <row r="28" spans="10:27" ht="14.25" customHeight="1" thickTop="1" thickBot="1"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5"/>
      <c r="U28" s="35"/>
      <c r="V28" s="35"/>
      <c r="W28" s="35"/>
      <c r="X28" s="35"/>
      <c r="Y28" s="35"/>
      <c r="Z28" s="34"/>
      <c r="AA28" s="34"/>
    </row>
    <row r="29" spans="10:27" ht="14.25" customHeight="1" thickTop="1">
      <c r="J29" s="18"/>
      <c r="K29" s="33"/>
      <c r="L29" s="33"/>
      <c r="M29" s="33"/>
      <c r="N29" s="33"/>
      <c r="O29" s="33"/>
      <c r="P29" s="93" t="s">
        <v>12</v>
      </c>
      <c r="Q29" s="94"/>
      <c r="R29" s="95"/>
      <c r="S29" s="93" t="s">
        <v>13</v>
      </c>
      <c r="T29" s="94"/>
      <c r="U29" s="95"/>
      <c r="V29" s="35"/>
      <c r="W29" s="35"/>
      <c r="X29" s="35"/>
      <c r="Y29" s="35"/>
      <c r="Z29" s="34"/>
      <c r="AA29" s="34"/>
    </row>
    <row r="30" spans="10:27" ht="14.25" customHeight="1">
      <c r="J30" s="18"/>
      <c r="K30" s="33"/>
      <c r="L30" s="33"/>
      <c r="M30" s="33"/>
      <c r="N30" s="33"/>
      <c r="O30" s="33"/>
      <c r="P30" s="96"/>
      <c r="Q30" s="97"/>
      <c r="R30" s="98"/>
      <c r="S30" s="96"/>
      <c r="T30" s="97"/>
      <c r="U30" s="98"/>
      <c r="V30" s="35"/>
      <c r="W30" s="35"/>
      <c r="X30" s="35"/>
      <c r="Y30" s="35"/>
      <c r="Z30" s="34"/>
      <c r="AA30" s="34"/>
    </row>
    <row r="31" spans="10:27" ht="14.25" customHeight="1" thickBot="1">
      <c r="J31" s="18"/>
      <c r="K31" s="33"/>
      <c r="L31" s="33"/>
      <c r="M31" s="33"/>
      <c r="N31" s="33"/>
      <c r="O31" s="33"/>
      <c r="P31" s="99"/>
      <c r="Q31" s="100"/>
      <c r="R31" s="101"/>
      <c r="S31" s="99"/>
      <c r="T31" s="100"/>
      <c r="U31" s="101"/>
      <c r="V31" s="35"/>
      <c r="W31" s="35"/>
      <c r="X31" s="35"/>
      <c r="Y31" s="35"/>
      <c r="Z31" s="34"/>
      <c r="AA31" s="34"/>
    </row>
    <row r="32" spans="10:27" ht="14.25" customHeight="1" thickTop="1">
      <c r="J32" s="18"/>
      <c r="K32" s="33"/>
      <c r="L32" s="33"/>
      <c r="M32" s="33"/>
      <c r="N32" s="33"/>
      <c r="O32" s="33"/>
      <c r="P32" s="102">
        <f>SUM(P18-P25)</f>
        <v>4410.8810000000003</v>
      </c>
      <c r="Q32" s="103"/>
      <c r="R32" s="104"/>
      <c r="S32" s="111">
        <f>SUM(S18-P25)</f>
        <v>6987.491</v>
      </c>
      <c r="T32" s="112"/>
      <c r="U32" s="113"/>
      <c r="V32" s="35"/>
      <c r="W32" s="35"/>
      <c r="X32" s="35"/>
      <c r="Y32" s="35"/>
      <c r="Z32" s="34"/>
      <c r="AA32" s="34"/>
    </row>
    <row r="33" spans="2:38" ht="14.25" customHeight="1">
      <c r="J33" s="18"/>
      <c r="K33" s="33"/>
      <c r="L33" s="33"/>
      <c r="M33" s="33"/>
      <c r="N33" s="33"/>
      <c r="O33" s="33"/>
      <c r="P33" s="105"/>
      <c r="Q33" s="106"/>
      <c r="R33" s="107"/>
      <c r="S33" s="114"/>
      <c r="T33" s="115"/>
      <c r="U33" s="116"/>
      <c r="V33" s="35"/>
      <c r="W33" s="35"/>
      <c r="X33" s="35"/>
      <c r="Y33" s="35"/>
      <c r="Z33" s="34"/>
      <c r="AA33" s="34"/>
    </row>
    <row r="34" spans="2:38" ht="14.25" customHeight="1" thickBot="1">
      <c r="J34" s="18"/>
      <c r="K34" s="33"/>
      <c r="L34" s="33"/>
      <c r="M34" s="33"/>
      <c r="N34" s="33"/>
      <c r="O34" s="33"/>
      <c r="P34" s="108"/>
      <c r="Q34" s="109"/>
      <c r="R34" s="110"/>
      <c r="S34" s="117"/>
      <c r="T34" s="118"/>
      <c r="U34" s="119"/>
      <c r="V34" s="35"/>
      <c r="W34" s="35"/>
      <c r="X34" s="35"/>
      <c r="Y34" s="35"/>
      <c r="Z34" s="34"/>
      <c r="AA34" s="34"/>
    </row>
    <row r="35" spans="2:38" ht="14.25" customHeight="1" thickTop="1" thickBot="1"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38" ht="30" customHeight="1" thickTop="1" thickBo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I36" s="13">
        <f>SUM(C36:AG36)</f>
        <v>0</v>
      </c>
      <c r="AJ36" s="15" t="s">
        <v>5</v>
      </c>
    </row>
    <row r="37" spans="2:38" ht="30" customHeight="1" thickTop="1" thickBot="1">
      <c r="B37" s="2" t="s">
        <v>0</v>
      </c>
      <c r="C37" s="38">
        <v>27</v>
      </c>
      <c r="D37" s="21">
        <v>28</v>
      </c>
      <c r="E37" s="10">
        <v>29</v>
      </c>
      <c r="F37" s="10">
        <v>30</v>
      </c>
      <c r="G37" s="10">
        <v>31</v>
      </c>
      <c r="H37" s="21">
        <v>1</v>
      </c>
      <c r="I37" s="21">
        <v>2</v>
      </c>
      <c r="J37" s="21">
        <v>3</v>
      </c>
      <c r="K37" s="21">
        <v>4</v>
      </c>
      <c r="L37" s="21">
        <v>5</v>
      </c>
      <c r="M37" s="38">
        <v>6</v>
      </c>
      <c r="N37" s="21">
        <v>7</v>
      </c>
      <c r="O37" s="21">
        <v>8</v>
      </c>
      <c r="P37" s="21">
        <v>9</v>
      </c>
      <c r="Q37" s="21">
        <v>10</v>
      </c>
      <c r="R37" s="21">
        <v>11</v>
      </c>
      <c r="S37" s="21">
        <v>12</v>
      </c>
      <c r="T37" s="38">
        <v>13</v>
      </c>
      <c r="U37" s="21">
        <v>14</v>
      </c>
      <c r="V37" s="21">
        <v>15</v>
      </c>
      <c r="W37" s="21">
        <v>16</v>
      </c>
      <c r="X37" s="21">
        <v>17</v>
      </c>
      <c r="Y37" s="21">
        <v>18</v>
      </c>
      <c r="Z37" s="21">
        <v>19</v>
      </c>
      <c r="AA37" s="38">
        <v>20</v>
      </c>
      <c r="AB37" s="50">
        <v>21</v>
      </c>
      <c r="AC37" s="46">
        <v>22</v>
      </c>
      <c r="AD37" s="46">
        <v>23</v>
      </c>
      <c r="AE37" s="21">
        <v>24</v>
      </c>
      <c r="AF37" s="21">
        <v>25</v>
      </c>
      <c r="AG37" s="29">
        <v>26</v>
      </c>
      <c r="AL37" s="5"/>
    </row>
    <row r="38" spans="2:38" ht="30" customHeight="1" thickTop="1" thickBot="1">
      <c r="B38" s="3" t="s">
        <v>1</v>
      </c>
      <c r="C38" s="39">
        <v>1</v>
      </c>
      <c r="D38" s="23">
        <v>1</v>
      </c>
      <c r="E38" s="11">
        <v>1</v>
      </c>
      <c r="F38" s="11">
        <v>1</v>
      </c>
      <c r="G38" s="11">
        <v>0</v>
      </c>
      <c r="H38" s="23">
        <v>1</v>
      </c>
      <c r="I38" s="23">
        <v>1</v>
      </c>
      <c r="J38" s="23">
        <v>1</v>
      </c>
      <c r="K38" s="23">
        <v>1</v>
      </c>
      <c r="L38" s="23">
        <v>1</v>
      </c>
      <c r="M38" s="39">
        <v>1</v>
      </c>
      <c r="N38" s="23">
        <v>1</v>
      </c>
      <c r="O38" s="23">
        <v>1</v>
      </c>
      <c r="P38" s="23">
        <v>1</v>
      </c>
      <c r="Q38" s="23">
        <v>1</v>
      </c>
      <c r="R38" s="23">
        <v>1</v>
      </c>
      <c r="S38" s="23">
        <v>1</v>
      </c>
      <c r="T38" s="39">
        <v>1</v>
      </c>
      <c r="U38" s="23">
        <v>1</v>
      </c>
      <c r="V38" s="23">
        <v>1</v>
      </c>
      <c r="W38" s="23">
        <v>1</v>
      </c>
      <c r="X38" s="23">
        <v>1</v>
      </c>
      <c r="Y38" s="23">
        <v>1</v>
      </c>
      <c r="Z38" s="23">
        <v>1</v>
      </c>
      <c r="AA38" s="39">
        <v>1</v>
      </c>
      <c r="AB38" s="51">
        <v>1</v>
      </c>
      <c r="AC38" s="47">
        <v>1</v>
      </c>
      <c r="AD38" s="47">
        <v>1</v>
      </c>
      <c r="AE38" s="23">
        <v>1</v>
      </c>
      <c r="AF38" s="23">
        <v>1</v>
      </c>
      <c r="AG38" s="30">
        <v>1</v>
      </c>
      <c r="AI38" s="4">
        <f>SUM(C38:AG38)</f>
        <v>30</v>
      </c>
      <c r="AJ38" s="15" t="s">
        <v>3</v>
      </c>
    </row>
    <row r="39" spans="2:38" ht="30" customHeight="1" thickTop="1" thickBot="1">
      <c r="B39" s="7" t="s">
        <v>2</v>
      </c>
      <c r="C39" s="40">
        <v>3</v>
      </c>
      <c r="D39" s="25">
        <v>1</v>
      </c>
      <c r="E39" s="12">
        <v>0</v>
      </c>
      <c r="F39" s="12">
        <v>0</v>
      </c>
      <c r="G39" s="12">
        <v>0</v>
      </c>
      <c r="H39" s="25">
        <v>1</v>
      </c>
      <c r="I39" s="25">
        <v>1</v>
      </c>
      <c r="J39" s="25">
        <v>1</v>
      </c>
      <c r="K39" s="25">
        <v>1</v>
      </c>
      <c r="L39" s="25">
        <v>1</v>
      </c>
      <c r="M39" s="40">
        <v>3</v>
      </c>
      <c r="N39" s="25">
        <v>1</v>
      </c>
      <c r="O39" s="25">
        <v>1</v>
      </c>
      <c r="P39" s="25">
        <v>1</v>
      </c>
      <c r="Q39" s="25">
        <v>1</v>
      </c>
      <c r="R39" s="25">
        <v>1</v>
      </c>
      <c r="S39" s="25">
        <v>1</v>
      </c>
      <c r="T39" s="40">
        <v>3</v>
      </c>
      <c r="U39" s="25">
        <v>1</v>
      </c>
      <c r="V39" s="25">
        <v>1</v>
      </c>
      <c r="W39" s="25">
        <v>1</v>
      </c>
      <c r="X39" s="25">
        <v>1</v>
      </c>
      <c r="Y39" s="25">
        <v>1</v>
      </c>
      <c r="Z39" s="25">
        <v>1</v>
      </c>
      <c r="AA39" s="40">
        <v>3</v>
      </c>
      <c r="AB39" s="52">
        <v>0</v>
      </c>
      <c r="AC39" s="48">
        <v>0</v>
      </c>
      <c r="AD39" s="48">
        <v>0</v>
      </c>
      <c r="AE39" s="25">
        <v>1</v>
      </c>
      <c r="AF39" s="25">
        <v>1</v>
      </c>
      <c r="AG39" s="31">
        <v>1</v>
      </c>
      <c r="AI39" s="6">
        <f>SUM(C39:AG39)</f>
        <v>33</v>
      </c>
      <c r="AJ39" s="17" t="s">
        <v>6</v>
      </c>
    </row>
    <row r="40" spans="2:38" ht="30" customHeight="1" thickTop="1" thickBot="1">
      <c r="B40" s="8"/>
      <c r="C40" s="41"/>
      <c r="D40" s="27"/>
      <c r="E40" s="19"/>
      <c r="F40" s="19"/>
      <c r="G40" s="19"/>
      <c r="H40" s="27"/>
      <c r="I40" s="27"/>
      <c r="J40" s="27"/>
      <c r="K40" s="27"/>
      <c r="L40" s="27"/>
      <c r="M40" s="41"/>
      <c r="N40" s="27"/>
      <c r="O40" s="27"/>
      <c r="P40" s="27"/>
      <c r="Q40" s="27"/>
      <c r="R40" s="27"/>
      <c r="S40" s="27"/>
      <c r="T40" s="41"/>
      <c r="U40" s="27"/>
      <c r="V40" s="27"/>
      <c r="W40" s="27"/>
      <c r="X40" s="27"/>
      <c r="Y40" s="27"/>
      <c r="Z40" s="27"/>
      <c r="AA40" s="41"/>
      <c r="AB40" s="53"/>
      <c r="AC40" s="49"/>
      <c r="AD40" s="49"/>
      <c r="AE40" s="27"/>
      <c r="AF40" s="27"/>
      <c r="AG40" s="28"/>
      <c r="AI40" s="9">
        <f>SUM(C40:AG40)</f>
        <v>0</v>
      </c>
      <c r="AJ40" s="16" t="s">
        <v>7</v>
      </c>
    </row>
    <row r="41" spans="2:38" ht="14.25" customHeight="1" thickTop="1"/>
  </sheetData>
  <mergeCells count="21">
    <mergeCell ref="J14:L16"/>
    <mergeCell ref="J17:L19"/>
    <mergeCell ref="Y14:AA16"/>
    <mergeCell ref="Y17:AA19"/>
    <mergeCell ref="J2:AA5"/>
    <mergeCell ref="M8:O10"/>
    <mergeCell ref="P8:U10"/>
    <mergeCell ref="V8:X10"/>
    <mergeCell ref="M11:O13"/>
    <mergeCell ref="P11:U13"/>
    <mergeCell ref="V11:X13"/>
    <mergeCell ref="P15:R17"/>
    <mergeCell ref="S15:U17"/>
    <mergeCell ref="P18:R20"/>
    <mergeCell ref="S18:U20"/>
    <mergeCell ref="P22:U24"/>
    <mergeCell ref="P25:U27"/>
    <mergeCell ref="P29:R31"/>
    <mergeCell ref="S29:U31"/>
    <mergeCell ref="P32:R34"/>
    <mergeCell ref="S32:U3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1"/>
  <sheetViews>
    <sheetView showGridLines="0" zoomScale="50" zoomScaleNormal="50" workbookViewId="0">
      <selection activeCell="D36" sqref="D36"/>
    </sheetView>
  </sheetViews>
  <sheetFormatPr defaultColWidth="9" defaultRowHeight="14.25" customHeight="1"/>
  <cols>
    <col min="1" max="1" width="5.6640625" style="1" customWidth="1"/>
    <col min="2" max="2" width="32.77734375" style="1" customWidth="1"/>
    <col min="3" max="33" width="9" style="1"/>
    <col min="34" max="34" width="5.21875" style="1" customWidth="1"/>
    <col min="35" max="35" width="12.44140625" style="1" customWidth="1"/>
    <col min="36" max="36" width="11.44140625" style="1" customWidth="1"/>
    <col min="37" max="37" width="4.44140625" style="1" customWidth="1"/>
    <col min="38" max="38" width="5.21875" style="1" customWidth="1"/>
    <col min="39" max="16384" width="9" style="1"/>
  </cols>
  <sheetData>
    <row r="1" spans="10:27" ht="14.25" customHeight="1" thickBot="1"/>
    <row r="2" spans="10:27" ht="14.25" customHeight="1" thickTop="1">
      <c r="J2" s="138" t="s">
        <v>23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</row>
    <row r="3" spans="10:27" ht="14.25" customHeight="1"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</row>
    <row r="4" spans="10:27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10:27" ht="14.25" customHeight="1" thickBot="1"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</row>
    <row r="6" spans="10:27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10:27" ht="14.25" customHeight="1" thickBo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10:27" ht="14.25" customHeight="1" thickTop="1">
      <c r="J8" s="32"/>
      <c r="K8" s="35"/>
      <c r="L8" s="35"/>
      <c r="M8" s="93" t="s">
        <v>4</v>
      </c>
      <c r="N8" s="94"/>
      <c r="O8" s="95"/>
      <c r="P8" s="93" t="s">
        <v>14</v>
      </c>
      <c r="Q8" s="94"/>
      <c r="R8" s="94"/>
      <c r="S8" s="94"/>
      <c r="T8" s="94"/>
      <c r="U8" s="95"/>
      <c r="V8" s="93" t="s">
        <v>11</v>
      </c>
      <c r="W8" s="94"/>
      <c r="X8" s="95"/>
      <c r="Y8" s="35"/>
      <c r="Z8" s="34"/>
      <c r="AA8" s="34"/>
    </row>
    <row r="9" spans="10:27" ht="14.25" customHeight="1">
      <c r="J9" s="32"/>
      <c r="K9" s="35"/>
      <c r="L9" s="35"/>
      <c r="M9" s="96"/>
      <c r="N9" s="97"/>
      <c r="O9" s="98"/>
      <c r="P9" s="96"/>
      <c r="Q9" s="97"/>
      <c r="R9" s="97"/>
      <c r="S9" s="97"/>
      <c r="T9" s="97"/>
      <c r="U9" s="98"/>
      <c r="V9" s="96"/>
      <c r="W9" s="97"/>
      <c r="X9" s="98"/>
      <c r="Y9" s="35"/>
      <c r="Z9" s="34"/>
      <c r="AA9" s="34"/>
    </row>
    <row r="10" spans="10:27" ht="14.25" customHeight="1" thickBot="1">
      <c r="J10" s="32"/>
      <c r="K10" s="35"/>
      <c r="L10" s="35"/>
      <c r="M10" s="99"/>
      <c r="N10" s="100"/>
      <c r="O10" s="101"/>
      <c r="P10" s="99"/>
      <c r="Q10" s="100"/>
      <c r="R10" s="100"/>
      <c r="S10" s="100"/>
      <c r="T10" s="100"/>
      <c r="U10" s="101"/>
      <c r="V10" s="99"/>
      <c r="W10" s="100"/>
      <c r="X10" s="101"/>
      <c r="Y10" s="35"/>
      <c r="Z10" s="34"/>
      <c r="AA10" s="34"/>
    </row>
    <row r="11" spans="10:27" ht="14.25" customHeight="1" thickTop="1">
      <c r="J11" s="32"/>
      <c r="K11" s="35"/>
      <c r="L11" s="35"/>
      <c r="M11" s="147">
        <f>SUM(AI38:AI39)</f>
        <v>73</v>
      </c>
      <c r="N11" s="148"/>
      <c r="O11" s="149"/>
      <c r="P11" s="165">
        <f>SUM('1'!S12:U14)</f>
        <v>2576.61</v>
      </c>
      <c r="Q11" s="166"/>
      <c r="R11" s="166"/>
      <c r="S11" s="166"/>
      <c r="T11" s="166"/>
      <c r="U11" s="167"/>
      <c r="V11" s="201">
        <f>SUM(P11/30)</f>
        <v>85.887</v>
      </c>
      <c r="W11" s="202"/>
      <c r="X11" s="203"/>
      <c r="Y11" s="35"/>
      <c r="Z11" s="34"/>
      <c r="AA11" s="34"/>
    </row>
    <row r="12" spans="10:27" ht="14.25" customHeight="1">
      <c r="J12" s="32"/>
      <c r="K12" s="35"/>
      <c r="L12" s="35"/>
      <c r="M12" s="150"/>
      <c r="N12" s="151"/>
      <c r="O12" s="152"/>
      <c r="P12" s="168"/>
      <c r="Q12" s="169"/>
      <c r="R12" s="169"/>
      <c r="S12" s="169"/>
      <c r="T12" s="169"/>
      <c r="U12" s="170"/>
      <c r="V12" s="204"/>
      <c r="W12" s="205"/>
      <c r="X12" s="206"/>
      <c r="Y12" s="35"/>
      <c r="Z12" s="34"/>
      <c r="AA12" s="34"/>
    </row>
    <row r="13" spans="10:27" ht="14.25" customHeight="1" thickBot="1">
      <c r="J13" s="32"/>
      <c r="K13" s="35"/>
      <c r="L13" s="35"/>
      <c r="M13" s="153"/>
      <c r="N13" s="154"/>
      <c r="O13" s="155"/>
      <c r="P13" s="171"/>
      <c r="Q13" s="172"/>
      <c r="R13" s="172"/>
      <c r="S13" s="172"/>
      <c r="T13" s="172"/>
      <c r="U13" s="173"/>
      <c r="V13" s="207"/>
      <c r="W13" s="208"/>
      <c r="X13" s="209"/>
      <c r="Y13" s="35"/>
      <c r="Z13" s="34"/>
      <c r="AA13" s="34"/>
    </row>
    <row r="14" spans="10:27" ht="14.25" customHeight="1" thickTop="1" thickBot="1">
      <c r="J14" s="174" t="s">
        <v>27</v>
      </c>
      <c r="K14" s="175"/>
      <c r="L14" s="176"/>
      <c r="M14" s="33"/>
      <c r="N14" s="33"/>
      <c r="O14" s="33"/>
      <c r="P14" s="33"/>
      <c r="Q14" s="33"/>
      <c r="R14" s="33"/>
      <c r="S14" s="33"/>
      <c r="T14" s="35"/>
      <c r="U14" s="35"/>
      <c r="V14" s="35"/>
      <c r="W14" s="35"/>
      <c r="X14" s="35"/>
      <c r="Y14" s="93" t="s">
        <v>28</v>
      </c>
      <c r="Z14" s="94"/>
      <c r="AA14" s="95"/>
    </row>
    <row r="15" spans="10:27" ht="14.25" customHeight="1" thickTop="1">
      <c r="J15" s="177"/>
      <c r="K15" s="178"/>
      <c r="L15" s="179"/>
      <c r="M15" s="33"/>
      <c r="N15" s="33"/>
      <c r="O15" s="33"/>
      <c r="P15" s="93" t="s">
        <v>12</v>
      </c>
      <c r="Q15" s="94"/>
      <c r="R15" s="95"/>
      <c r="S15" s="93" t="s">
        <v>13</v>
      </c>
      <c r="T15" s="94"/>
      <c r="U15" s="95"/>
      <c r="V15" s="35"/>
      <c r="W15" s="35"/>
      <c r="X15" s="35"/>
      <c r="Y15" s="96"/>
      <c r="Z15" s="97"/>
      <c r="AA15" s="98"/>
    </row>
    <row r="16" spans="10:27" ht="14.25" customHeight="1" thickBot="1">
      <c r="J16" s="180"/>
      <c r="K16" s="181"/>
      <c r="L16" s="182"/>
      <c r="M16" s="33"/>
      <c r="N16" s="33"/>
      <c r="O16" s="33"/>
      <c r="P16" s="96"/>
      <c r="Q16" s="97"/>
      <c r="R16" s="98"/>
      <c r="S16" s="96"/>
      <c r="T16" s="97"/>
      <c r="U16" s="98"/>
      <c r="V16" s="35"/>
      <c r="W16" s="35"/>
      <c r="X16" s="35"/>
      <c r="Y16" s="99"/>
      <c r="Z16" s="100"/>
      <c r="AA16" s="101"/>
    </row>
    <row r="17" spans="10:27" ht="14.25" customHeight="1" thickTop="1" thickBot="1">
      <c r="J17" s="183">
        <f>SUM('1'!AI37+'2'!AI36+'3'!AI36+'4'!AI36+'5'!AI36+'6'!AI36+'7'!AI36+'8'!AI36+'9'!AI36+'10'!AI36+'11'!AI36+'12'!AI36)</f>
        <v>0</v>
      </c>
      <c r="K17" s="184"/>
      <c r="L17" s="185"/>
      <c r="M17" s="33"/>
      <c r="N17" s="33"/>
      <c r="O17" s="33"/>
      <c r="P17" s="99"/>
      <c r="Q17" s="100"/>
      <c r="R17" s="101"/>
      <c r="S17" s="99"/>
      <c r="T17" s="100"/>
      <c r="U17" s="101"/>
      <c r="V17" s="35"/>
      <c r="W17" s="35"/>
      <c r="X17" s="35"/>
      <c r="Y17" s="192">
        <f>SUM(30-J17)</f>
        <v>30</v>
      </c>
      <c r="Z17" s="193"/>
      <c r="AA17" s="194"/>
    </row>
    <row r="18" spans="10:27" ht="14.25" customHeight="1" thickTop="1">
      <c r="J18" s="186"/>
      <c r="K18" s="187"/>
      <c r="L18" s="188"/>
      <c r="M18" s="33"/>
      <c r="N18" s="33"/>
      <c r="O18" s="33"/>
      <c r="P18" s="102">
        <f>(M11*V11)+AI40</f>
        <v>6269.7510000000002</v>
      </c>
      <c r="Q18" s="103"/>
      <c r="R18" s="104"/>
      <c r="S18" s="111">
        <f>SUM(P18+P11)</f>
        <v>8846.3610000000008</v>
      </c>
      <c r="T18" s="112"/>
      <c r="U18" s="113"/>
      <c r="V18" s="35"/>
      <c r="W18" s="35"/>
      <c r="X18" s="35"/>
      <c r="Y18" s="195"/>
      <c r="Z18" s="196"/>
      <c r="AA18" s="197"/>
    </row>
    <row r="19" spans="10:27" ht="14.25" customHeight="1" thickBot="1">
      <c r="J19" s="189"/>
      <c r="K19" s="190"/>
      <c r="L19" s="191"/>
      <c r="M19" s="33"/>
      <c r="N19" s="33"/>
      <c r="O19" s="33"/>
      <c r="P19" s="105"/>
      <c r="Q19" s="106"/>
      <c r="R19" s="107"/>
      <c r="S19" s="114"/>
      <c r="T19" s="115"/>
      <c r="U19" s="116"/>
      <c r="V19" s="35"/>
      <c r="W19" s="35"/>
      <c r="X19" s="35"/>
      <c r="Y19" s="198"/>
      <c r="Z19" s="199"/>
      <c r="AA19" s="200"/>
    </row>
    <row r="20" spans="10:27" ht="14.25" customHeight="1" thickTop="1" thickBot="1">
      <c r="J20" s="18"/>
      <c r="K20" s="33"/>
      <c r="L20" s="33"/>
      <c r="M20" s="33"/>
      <c r="N20" s="33"/>
      <c r="O20" s="33"/>
      <c r="P20" s="108"/>
      <c r="Q20" s="109"/>
      <c r="R20" s="110"/>
      <c r="S20" s="117"/>
      <c r="T20" s="118"/>
      <c r="U20" s="119"/>
      <c r="V20" s="35"/>
      <c r="W20" s="35"/>
      <c r="X20" s="35"/>
      <c r="Y20" s="35"/>
      <c r="Z20" s="34"/>
      <c r="AA20" s="34"/>
    </row>
    <row r="21" spans="10:27" ht="14.25" customHeight="1" thickTop="1" thickBot="1"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5"/>
      <c r="U21" s="35"/>
      <c r="V21" s="35"/>
      <c r="W21" s="35"/>
      <c r="X21" s="35"/>
      <c r="Y21" s="35"/>
      <c r="Z21" s="34"/>
      <c r="AA21" s="34"/>
    </row>
    <row r="22" spans="10:27" ht="14.25" customHeight="1" thickTop="1">
      <c r="J22" s="18"/>
      <c r="K22" s="33"/>
      <c r="L22" s="33"/>
      <c r="M22" s="33"/>
      <c r="N22" s="33"/>
      <c r="O22" s="33"/>
      <c r="P22" s="93" t="s">
        <v>8</v>
      </c>
      <c r="Q22" s="94"/>
      <c r="R22" s="94"/>
      <c r="S22" s="94"/>
      <c r="T22" s="94"/>
      <c r="U22" s="95"/>
      <c r="V22" s="35"/>
      <c r="W22" s="35"/>
      <c r="X22" s="35"/>
      <c r="Y22" s="35"/>
      <c r="Z22" s="34"/>
      <c r="AA22" s="34"/>
    </row>
    <row r="23" spans="10:27" ht="14.25" customHeight="1">
      <c r="J23" s="18"/>
      <c r="K23" s="33"/>
      <c r="L23" s="33"/>
      <c r="M23" s="33"/>
      <c r="N23" s="33"/>
      <c r="O23" s="33"/>
      <c r="P23" s="96"/>
      <c r="Q23" s="97"/>
      <c r="R23" s="97"/>
      <c r="S23" s="97"/>
      <c r="T23" s="97"/>
      <c r="U23" s="98"/>
      <c r="V23" s="35"/>
      <c r="W23" s="35"/>
      <c r="X23" s="35"/>
      <c r="Y23" s="35"/>
      <c r="Z23" s="34"/>
      <c r="AA23" s="34"/>
    </row>
    <row r="24" spans="10:27" ht="14.25" customHeight="1" thickBot="1">
      <c r="J24" s="18"/>
      <c r="K24" s="33"/>
      <c r="L24" s="33"/>
      <c r="M24" s="33"/>
      <c r="N24" s="33"/>
      <c r="O24" s="33"/>
      <c r="P24" s="99"/>
      <c r="Q24" s="100"/>
      <c r="R24" s="100"/>
      <c r="S24" s="100"/>
      <c r="T24" s="100"/>
      <c r="U24" s="101"/>
      <c r="V24" s="35"/>
      <c r="W24" s="35"/>
      <c r="X24" s="35"/>
      <c r="Y24" s="35"/>
      <c r="Z24" s="34"/>
      <c r="AA24" s="34"/>
    </row>
    <row r="25" spans="10:27" ht="14.25" customHeight="1" thickTop="1">
      <c r="J25" s="18"/>
      <c r="K25" s="33"/>
      <c r="L25" s="33"/>
      <c r="M25" s="33"/>
      <c r="N25" s="33"/>
      <c r="O25" s="33"/>
      <c r="P25" s="120">
        <v>1000</v>
      </c>
      <c r="Q25" s="121"/>
      <c r="R25" s="121"/>
      <c r="S25" s="121"/>
      <c r="T25" s="121"/>
      <c r="U25" s="122"/>
      <c r="V25" s="35"/>
      <c r="W25" s="35"/>
      <c r="X25" s="35"/>
      <c r="Y25" s="35"/>
      <c r="Z25" s="34"/>
      <c r="AA25" s="34"/>
    </row>
    <row r="26" spans="10:27" ht="14.25" customHeight="1">
      <c r="J26" s="18"/>
      <c r="K26" s="33"/>
      <c r="L26" s="33"/>
      <c r="M26" s="33"/>
      <c r="N26" s="33"/>
      <c r="O26" s="33"/>
      <c r="P26" s="123"/>
      <c r="Q26" s="124"/>
      <c r="R26" s="124"/>
      <c r="S26" s="124"/>
      <c r="T26" s="124"/>
      <c r="U26" s="125"/>
      <c r="V26" s="35"/>
      <c r="W26" s="35"/>
      <c r="X26" s="35"/>
      <c r="Y26" s="35"/>
      <c r="Z26" s="34"/>
      <c r="AA26" s="34"/>
    </row>
    <row r="27" spans="10:27" ht="14.25" customHeight="1" thickBot="1">
      <c r="J27" s="18"/>
      <c r="K27" s="33"/>
      <c r="L27" s="33"/>
      <c r="M27" s="33"/>
      <c r="N27" s="33"/>
      <c r="O27" s="33"/>
      <c r="P27" s="126"/>
      <c r="Q27" s="127"/>
      <c r="R27" s="127"/>
      <c r="S27" s="127"/>
      <c r="T27" s="127"/>
      <c r="U27" s="128"/>
      <c r="V27" s="35"/>
      <c r="W27" s="35"/>
      <c r="X27" s="35"/>
      <c r="Y27" s="35"/>
      <c r="Z27" s="34"/>
      <c r="AA27" s="34"/>
    </row>
    <row r="28" spans="10:27" ht="14.25" customHeight="1" thickTop="1" thickBot="1"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5"/>
      <c r="U28" s="35"/>
      <c r="V28" s="35"/>
      <c r="W28" s="35"/>
      <c r="X28" s="35"/>
      <c r="Y28" s="35"/>
      <c r="Z28" s="34"/>
      <c r="AA28" s="34"/>
    </row>
    <row r="29" spans="10:27" ht="14.25" customHeight="1" thickTop="1">
      <c r="J29" s="18"/>
      <c r="K29" s="33"/>
      <c r="L29" s="33"/>
      <c r="M29" s="33"/>
      <c r="N29" s="33"/>
      <c r="O29" s="33"/>
      <c r="P29" s="93" t="s">
        <v>12</v>
      </c>
      <c r="Q29" s="94"/>
      <c r="R29" s="95"/>
      <c r="S29" s="93" t="s">
        <v>13</v>
      </c>
      <c r="T29" s="94"/>
      <c r="U29" s="95"/>
      <c r="V29" s="35"/>
      <c r="W29" s="35"/>
      <c r="X29" s="35"/>
      <c r="Y29" s="35"/>
      <c r="Z29" s="34"/>
      <c r="AA29" s="34"/>
    </row>
    <row r="30" spans="10:27" ht="14.25" customHeight="1">
      <c r="J30" s="18"/>
      <c r="K30" s="33"/>
      <c r="L30" s="33"/>
      <c r="M30" s="33"/>
      <c r="N30" s="33"/>
      <c r="O30" s="33"/>
      <c r="P30" s="96"/>
      <c r="Q30" s="97"/>
      <c r="R30" s="98"/>
      <c r="S30" s="96"/>
      <c r="T30" s="97"/>
      <c r="U30" s="98"/>
      <c r="V30" s="35"/>
      <c r="W30" s="35"/>
      <c r="X30" s="35"/>
      <c r="Y30" s="35"/>
      <c r="Z30" s="34"/>
      <c r="AA30" s="34"/>
    </row>
    <row r="31" spans="10:27" ht="14.25" customHeight="1" thickBot="1">
      <c r="J31" s="18"/>
      <c r="K31" s="33"/>
      <c r="L31" s="33"/>
      <c r="M31" s="33"/>
      <c r="N31" s="33"/>
      <c r="O31" s="33"/>
      <c r="P31" s="99"/>
      <c r="Q31" s="100"/>
      <c r="R31" s="101"/>
      <c r="S31" s="99"/>
      <c r="T31" s="100"/>
      <c r="U31" s="101"/>
      <c r="V31" s="35"/>
      <c r="W31" s="35"/>
      <c r="X31" s="35"/>
      <c r="Y31" s="35"/>
      <c r="Z31" s="34"/>
      <c r="AA31" s="34"/>
    </row>
    <row r="32" spans="10:27" ht="14.25" customHeight="1" thickTop="1">
      <c r="J32" s="18"/>
      <c r="K32" s="33"/>
      <c r="L32" s="33"/>
      <c r="M32" s="33"/>
      <c r="N32" s="33"/>
      <c r="O32" s="33"/>
      <c r="P32" s="102">
        <f>SUM(P18-P25)</f>
        <v>5269.7510000000002</v>
      </c>
      <c r="Q32" s="103"/>
      <c r="R32" s="104"/>
      <c r="S32" s="111">
        <f>SUM(S18-P25)</f>
        <v>7846.3610000000008</v>
      </c>
      <c r="T32" s="112"/>
      <c r="U32" s="113"/>
      <c r="V32" s="35"/>
      <c r="W32" s="35"/>
      <c r="X32" s="35"/>
      <c r="Y32" s="35"/>
      <c r="Z32" s="34"/>
      <c r="AA32" s="34"/>
    </row>
    <row r="33" spans="2:38" ht="14.25" customHeight="1">
      <c r="J33" s="18"/>
      <c r="K33" s="33"/>
      <c r="L33" s="33"/>
      <c r="M33" s="33"/>
      <c r="N33" s="33"/>
      <c r="O33" s="33"/>
      <c r="P33" s="105"/>
      <c r="Q33" s="106"/>
      <c r="R33" s="107"/>
      <c r="S33" s="114"/>
      <c r="T33" s="115"/>
      <c r="U33" s="116"/>
      <c r="V33" s="35"/>
      <c r="W33" s="35"/>
      <c r="X33" s="35"/>
      <c r="Y33" s="35"/>
      <c r="Z33" s="34"/>
      <c r="AA33" s="34"/>
    </row>
    <row r="34" spans="2:38" ht="14.25" customHeight="1" thickBot="1">
      <c r="J34" s="18"/>
      <c r="K34" s="33"/>
      <c r="L34" s="33"/>
      <c r="M34" s="33"/>
      <c r="N34" s="33"/>
      <c r="O34" s="33"/>
      <c r="P34" s="108"/>
      <c r="Q34" s="109"/>
      <c r="R34" s="110"/>
      <c r="S34" s="117"/>
      <c r="T34" s="118"/>
      <c r="U34" s="119"/>
      <c r="V34" s="35"/>
      <c r="W34" s="35"/>
      <c r="X34" s="35"/>
      <c r="Y34" s="35"/>
      <c r="Z34" s="34"/>
      <c r="AA34" s="34"/>
    </row>
    <row r="35" spans="2:38" ht="14.25" customHeight="1" thickTop="1" thickBot="1"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38" ht="30" customHeight="1" thickTop="1" thickBo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I36" s="13">
        <f>SUM(C36:AG36)</f>
        <v>0</v>
      </c>
      <c r="AJ36" s="15" t="s">
        <v>5</v>
      </c>
    </row>
    <row r="37" spans="2:38" ht="30" customHeight="1" thickTop="1" thickBot="1">
      <c r="B37" s="2" t="s">
        <v>0</v>
      </c>
      <c r="C37" s="38">
        <v>27</v>
      </c>
      <c r="D37" s="21">
        <v>28</v>
      </c>
      <c r="E37" s="21">
        <v>29</v>
      </c>
      <c r="F37" s="21">
        <v>30</v>
      </c>
      <c r="G37" s="21">
        <v>31</v>
      </c>
      <c r="H37" s="21">
        <v>1</v>
      </c>
      <c r="I37" s="21">
        <v>2</v>
      </c>
      <c r="J37" s="38">
        <v>3</v>
      </c>
      <c r="K37" s="21">
        <v>4</v>
      </c>
      <c r="L37" s="21">
        <v>5</v>
      </c>
      <c r="M37" s="21">
        <v>6</v>
      </c>
      <c r="N37" s="21">
        <v>7</v>
      </c>
      <c r="O37" s="21">
        <v>8</v>
      </c>
      <c r="P37" s="21">
        <v>9</v>
      </c>
      <c r="Q37" s="38">
        <v>10</v>
      </c>
      <c r="R37" s="21">
        <v>11</v>
      </c>
      <c r="S37" s="21">
        <v>12</v>
      </c>
      <c r="T37" s="42">
        <v>13</v>
      </c>
      <c r="U37" s="21">
        <v>14</v>
      </c>
      <c r="V37" s="21">
        <v>15</v>
      </c>
      <c r="W37" s="21">
        <v>16</v>
      </c>
      <c r="X37" s="38">
        <v>17</v>
      </c>
      <c r="Y37" s="21">
        <v>18</v>
      </c>
      <c r="Z37" s="21">
        <v>19</v>
      </c>
      <c r="AA37" s="21">
        <v>20</v>
      </c>
      <c r="AB37" s="21">
        <v>21</v>
      </c>
      <c r="AC37" s="21">
        <v>22</v>
      </c>
      <c r="AD37" s="21">
        <v>23</v>
      </c>
      <c r="AE37" s="38">
        <v>24</v>
      </c>
      <c r="AF37" s="42">
        <v>25</v>
      </c>
      <c r="AG37" s="29">
        <v>26</v>
      </c>
      <c r="AL37" s="5"/>
    </row>
    <row r="38" spans="2:38" ht="30" customHeight="1" thickTop="1" thickBot="1">
      <c r="B38" s="3" t="s">
        <v>1</v>
      </c>
      <c r="C38" s="39">
        <v>1</v>
      </c>
      <c r="D38" s="23">
        <v>1</v>
      </c>
      <c r="E38" s="23">
        <v>1</v>
      </c>
      <c r="F38" s="23">
        <v>1</v>
      </c>
      <c r="G38" s="23">
        <v>0</v>
      </c>
      <c r="H38" s="23">
        <v>1</v>
      </c>
      <c r="I38" s="23">
        <v>1</v>
      </c>
      <c r="J38" s="39">
        <v>1</v>
      </c>
      <c r="K38" s="23">
        <v>1</v>
      </c>
      <c r="L38" s="23">
        <v>1</v>
      </c>
      <c r="M38" s="23">
        <v>1</v>
      </c>
      <c r="N38" s="23">
        <v>1</v>
      </c>
      <c r="O38" s="23">
        <v>1</v>
      </c>
      <c r="P38" s="23">
        <v>1</v>
      </c>
      <c r="Q38" s="39">
        <v>1</v>
      </c>
      <c r="R38" s="23">
        <v>1</v>
      </c>
      <c r="S38" s="23">
        <v>1</v>
      </c>
      <c r="T38" s="43">
        <v>1</v>
      </c>
      <c r="U38" s="23">
        <v>1</v>
      </c>
      <c r="V38" s="23">
        <v>1</v>
      </c>
      <c r="W38" s="23">
        <v>1</v>
      </c>
      <c r="X38" s="39">
        <v>1</v>
      </c>
      <c r="Y38" s="23">
        <v>1</v>
      </c>
      <c r="Z38" s="23">
        <v>1</v>
      </c>
      <c r="AA38" s="23">
        <v>1</v>
      </c>
      <c r="AB38" s="23">
        <v>1</v>
      </c>
      <c r="AC38" s="23">
        <v>1</v>
      </c>
      <c r="AD38" s="23">
        <v>1</v>
      </c>
      <c r="AE38" s="39">
        <v>1</v>
      </c>
      <c r="AF38" s="43">
        <v>1</v>
      </c>
      <c r="AG38" s="30">
        <v>1</v>
      </c>
      <c r="AI38" s="4">
        <f>SUM(C38:AG38)</f>
        <v>30</v>
      </c>
      <c r="AJ38" s="15" t="s">
        <v>3</v>
      </c>
    </row>
    <row r="39" spans="2:38" ht="30" customHeight="1" thickTop="1" thickBot="1">
      <c r="B39" s="7" t="s">
        <v>2</v>
      </c>
      <c r="C39" s="40">
        <v>3</v>
      </c>
      <c r="D39" s="25">
        <v>1</v>
      </c>
      <c r="E39" s="25">
        <v>1</v>
      </c>
      <c r="F39" s="25">
        <v>1</v>
      </c>
      <c r="G39" s="25">
        <v>1</v>
      </c>
      <c r="H39" s="25">
        <v>1</v>
      </c>
      <c r="I39" s="25">
        <v>1</v>
      </c>
      <c r="J39" s="40">
        <v>3</v>
      </c>
      <c r="K39" s="25">
        <v>1</v>
      </c>
      <c r="L39" s="25">
        <v>1</v>
      </c>
      <c r="M39" s="25">
        <v>1</v>
      </c>
      <c r="N39" s="25">
        <v>1</v>
      </c>
      <c r="O39" s="25">
        <v>1</v>
      </c>
      <c r="P39" s="25">
        <v>1</v>
      </c>
      <c r="Q39" s="40">
        <v>3</v>
      </c>
      <c r="R39" s="25">
        <v>1</v>
      </c>
      <c r="S39" s="25">
        <v>1</v>
      </c>
      <c r="T39" s="44">
        <v>2</v>
      </c>
      <c r="U39" s="25">
        <v>1</v>
      </c>
      <c r="V39" s="25">
        <v>1</v>
      </c>
      <c r="W39" s="25">
        <v>1</v>
      </c>
      <c r="X39" s="40">
        <v>3</v>
      </c>
      <c r="Y39" s="25">
        <v>1</v>
      </c>
      <c r="Z39" s="25">
        <v>1</v>
      </c>
      <c r="AA39" s="25">
        <v>1</v>
      </c>
      <c r="AB39" s="25">
        <v>1</v>
      </c>
      <c r="AC39" s="25">
        <v>1</v>
      </c>
      <c r="AD39" s="25">
        <v>1</v>
      </c>
      <c r="AE39" s="40">
        <v>3</v>
      </c>
      <c r="AF39" s="44">
        <v>2</v>
      </c>
      <c r="AG39" s="31">
        <v>1</v>
      </c>
      <c r="AI39" s="6">
        <f>SUM(C39:AG39)</f>
        <v>43</v>
      </c>
      <c r="AJ39" s="17" t="s">
        <v>6</v>
      </c>
    </row>
    <row r="40" spans="2:38" ht="30" customHeight="1" thickTop="1" thickBot="1">
      <c r="B40" s="8"/>
      <c r="C40" s="41"/>
      <c r="D40" s="27"/>
      <c r="E40" s="27"/>
      <c r="F40" s="27"/>
      <c r="G40" s="27"/>
      <c r="H40" s="27"/>
      <c r="I40" s="27"/>
      <c r="J40" s="41"/>
      <c r="K40" s="27"/>
      <c r="L40" s="27"/>
      <c r="M40" s="27"/>
      <c r="N40" s="27"/>
      <c r="O40" s="27"/>
      <c r="P40" s="27"/>
      <c r="Q40" s="41"/>
      <c r="R40" s="27"/>
      <c r="S40" s="27"/>
      <c r="T40" s="45"/>
      <c r="U40" s="27"/>
      <c r="V40" s="27"/>
      <c r="W40" s="27"/>
      <c r="X40" s="41"/>
      <c r="Y40" s="27"/>
      <c r="Z40" s="27"/>
      <c r="AA40" s="27"/>
      <c r="AB40" s="27"/>
      <c r="AC40" s="27"/>
      <c r="AD40" s="27"/>
      <c r="AE40" s="41"/>
      <c r="AF40" s="45"/>
      <c r="AG40" s="28"/>
      <c r="AI40" s="9">
        <f>SUM(C40:AG40)</f>
        <v>0</v>
      </c>
      <c r="AJ40" s="16" t="s">
        <v>7</v>
      </c>
    </row>
    <row r="41" spans="2:38" ht="14.25" customHeight="1" thickTop="1"/>
  </sheetData>
  <mergeCells count="21">
    <mergeCell ref="J14:L16"/>
    <mergeCell ref="J17:L19"/>
    <mergeCell ref="Y14:AA16"/>
    <mergeCell ref="Y17:AA19"/>
    <mergeCell ref="J2:AA5"/>
    <mergeCell ref="M8:O10"/>
    <mergeCell ref="P8:U10"/>
    <mergeCell ref="V8:X10"/>
    <mergeCell ref="M11:O13"/>
    <mergeCell ref="P11:U13"/>
    <mergeCell ref="V11:X13"/>
    <mergeCell ref="P15:R17"/>
    <mergeCell ref="S15:U17"/>
    <mergeCell ref="P18:R20"/>
    <mergeCell ref="S18:U20"/>
    <mergeCell ref="P22:U24"/>
    <mergeCell ref="P25:U27"/>
    <mergeCell ref="P29:R31"/>
    <mergeCell ref="S29:U31"/>
    <mergeCell ref="P32:R34"/>
    <mergeCell ref="S32:U34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1"/>
  <sheetViews>
    <sheetView showGridLines="0" zoomScale="50" zoomScaleNormal="50" workbookViewId="0">
      <selection activeCell="C36" sqref="C36"/>
    </sheetView>
  </sheetViews>
  <sheetFormatPr defaultColWidth="9" defaultRowHeight="14.25" customHeight="1"/>
  <cols>
    <col min="1" max="1" width="5.6640625" style="1" customWidth="1"/>
    <col min="2" max="2" width="32.77734375" style="1" customWidth="1"/>
    <col min="3" max="33" width="9" style="1"/>
    <col min="34" max="34" width="5.21875" style="1" customWidth="1"/>
    <col min="35" max="35" width="12.44140625" style="1" customWidth="1"/>
    <col min="36" max="36" width="11.44140625" style="1" customWidth="1"/>
    <col min="37" max="37" width="4.44140625" style="1" customWidth="1"/>
    <col min="38" max="38" width="5.21875" style="1" customWidth="1"/>
    <col min="39" max="16384" width="9" style="1"/>
  </cols>
  <sheetData>
    <row r="1" spans="10:27" ht="14.25" customHeight="1" thickBot="1"/>
    <row r="2" spans="10:27" ht="14.25" customHeight="1" thickTop="1">
      <c r="J2" s="138" t="s">
        <v>22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</row>
    <row r="3" spans="10:27" ht="14.25" customHeight="1"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</row>
    <row r="4" spans="10:27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10:27" ht="14.25" customHeight="1" thickBot="1"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</row>
    <row r="6" spans="10:27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10:27" ht="14.25" customHeight="1" thickBo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10:27" ht="14.25" customHeight="1" thickTop="1">
      <c r="J8" s="32"/>
      <c r="K8" s="35"/>
      <c r="L8" s="35"/>
      <c r="M8" s="93" t="s">
        <v>4</v>
      </c>
      <c r="N8" s="94"/>
      <c r="O8" s="95"/>
      <c r="P8" s="93" t="s">
        <v>14</v>
      </c>
      <c r="Q8" s="94"/>
      <c r="R8" s="94"/>
      <c r="S8" s="94"/>
      <c r="T8" s="94"/>
      <c r="U8" s="95"/>
      <c r="V8" s="93" t="s">
        <v>11</v>
      </c>
      <c r="W8" s="94"/>
      <c r="X8" s="95"/>
      <c r="Y8" s="35"/>
      <c r="Z8" s="34"/>
      <c r="AA8" s="34"/>
    </row>
    <row r="9" spans="10:27" ht="14.25" customHeight="1">
      <c r="J9" s="32"/>
      <c r="K9" s="35"/>
      <c r="L9" s="35"/>
      <c r="M9" s="96"/>
      <c r="N9" s="97"/>
      <c r="O9" s="98"/>
      <c r="P9" s="96"/>
      <c r="Q9" s="97"/>
      <c r="R9" s="97"/>
      <c r="S9" s="97"/>
      <c r="T9" s="97"/>
      <c r="U9" s="98"/>
      <c r="V9" s="96"/>
      <c r="W9" s="97"/>
      <c r="X9" s="98"/>
      <c r="Y9" s="35"/>
      <c r="Z9" s="34"/>
      <c r="AA9" s="34"/>
    </row>
    <row r="10" spans="10:27" ht="14.25" customHeight="1" thickBot="1">
      <c r="J10" s="32"/>
      <c r="K10" s="35"/>
      <c r="L10" s="35"/>
      <c r="M10" s="99"/>
      <c r="N10" s="100"/>
      <c r="O10" s="101"/>
      <c r="P10" s="99"/>
      <c r="Q10" s="100"/>
      <c r="R10" s="100"/>
      <c r="S10" s="100"/>
      <c r="T10" s="100"/>
      <c r="U10" s="101"/>
      <c r="V10" s="99"/>
      <c r="W10" s="100"/>
      <c r="X10" s="101"/>
      <c r="Y10" s="35"/>
      <c r="Z10" s="34"/>
      <c r="AA10" s="34"/>
    </row>
    <row r="11" spans="10:27" ht="14.25" customHeight="1" thickTop="1">
      <c r="J11" s="32"/>
      <c r="K11" s="35"/>
      <c r="L11" s="35"/>
      <c r="M11" s="147">
        <f>SUM(AI38:AI39)</f>
        <v>68</v>
      </c>
      <c r="N11" s="148"/>
      <c r="O11" s="149"/>
      <c r="P11" s="165">
        <f>SUM('1'!S12:U14)</f>
        <v>2576.61</v>
      </c>
      <c r="Q11" s="166"/>
      <c r="R11" s="166"/>
      <c r="S11" s="166"/>
      <c r="T11" s="166"/>
      <c r="U11" s="167"/>
      <c r="V11" s="201">
        <f>SUM(P11/30)</f>
        <v>85.887</v>
      </c>
      <c r="W11" s="202"/>
      <c r="X11" s="203"/>
      <c r="Y11" s="35"/>
      <c r="Z11" s="34"/>
      <c r="AA11" s="34"/>
    </row>
    <row r="12" spans="10:27" ht="14.25" customHeight="1">
      <c r="J12" s="32"/>
      <c r="K12" s="35"/>
      <c r="L12" s="35"/>
      <c r="M12" s="150"/>
      <c r="N12" s="151"/>
      <c r="O12" s="152"/>
      <c r="P12" s="168"/>
      <c r="Q12" s="169"/>
      <c r="R12" s="169"/>
      <c r="S12" s="169"/>
      <c r="T12" s="169"/>
      <c r="U12" s="170"/>
      <c r="V12" s="204"/>
      <c r="W12" s="205"/>
      <c r="X12" s="206"/>
      <c r="Y12" s="35"/>
      <c r="Z12" s="34"/>
      <c r="AA12" s="34"/>
    </row>
    <row r="13" spans="10:27" ht="14.25" customHeight="1" thickBot="1">
      <c r="J13" s="32"/>
      <c r="K13" s="35"/>
      <c r="L13" s="35"/>
      <c r="M13" s="153"/>
      <c r="N13" s="154"/>
      <c r="O13" s="155"/>
      <c r="P13" s="171"/>
      <c r="Q13" s="172"/>
      <c r="R13" s="172"/>
      <c r="S13" s="172"/>
      <c r="T13" s="172"/>
      <c r="U13" s="173"/>
      <c r="V13" s="207"/>
      <c r="W13" s="208"/>
      <c r="X13" s="209"/>
      <c r="Y13" s="35"/>
      <c r="Z13" s="34"/>
      <c r="AA13" s="34"/>
    </row>
    <row r="14" spans="10:27" ht="14.25" customHeight="1" thickTop="1" thickBot="1">
      <c r="J14" s="174" t="s">
        <v>27</v>
      </c>
      <c r="K14" s="175"/>
      <c r="L14" s="176"/>
      <c r="M14" s="33"/>
      <c r="N14" s="33"/>
      <c r="O14" s="33"/>
      <c r="P14" s="33"/>
      <c r="Q14" s="33"/>
      <c r="R14" s="33"/>
      <c r="S14" s="33"/>
      <c r="T14" s="35"/>
      <c r="U14" s="35"/>
      <c r="V14" s="35"/>
      <c r="W14" s="35"/>
      <c r="X14" s="35"/>
      <c r="Y14" s="93" t="s">
        <v>28</v>
      </c>
      <c r="Z14" s="94"/>
      <c r="AA14" s="95"/>
    </row>
    <row r="15" spans="10:27" ht="14.25" customHeight="1" thickTop="1">
      <c r="J15" s="177"/>
      <c r="K15" s="178"/>
      <c r="L15" s="179"/>
      <c r="M15" s="33"/>
      <c r="N15" s="33"/>
      <c r="O15" s="33"/>
      <c r="P15" s="93" t="s">
        <v>12</v>
      </c>
      <c r="Q15" s="94"/>
      <c r="R15" s="95"/>
      <c r="S15" s="93" t="s">
        <v>13</v>
      </c>
      <c r="T15" s="94"/>
      <c r="U15" s="95"/>
      <c r="V15" s="35"/>
      <c r="W15" s="35"/>
      <c r="X15" s="35"/>
      <c r="Y15" s="96"/>
      <c r="Z15" s="97"/>
      <c r="AA15" s="98"/>
    </row>
    <row r="16" spans="10:27" ht="14.25" customHeight="1" thickBot="1">
      <c r="J16" s="180"/>
      <c r="K16" s="181"/>
      <c r="L16" s="182"/>
      <c r="M16" s="33"/>
      <c r="N16" s="33"/>
      <c r="O16" s="33"/>
      <c r="P16" s="96"/>
      <c r="Q16" s="97"/>
      <c r="R16" s="98"/>
      <c r="S16" s="96"/>
      <c r="T16" s="97"/>
      <c r="U16" s="98"/>
      <c r="V16" s="35"/>
      <c r="W16" s="35"/>
      <c r="X16" s="35"/>
      <c r="Y16" s="99"/>
      <c r="Z16" s="100"/>
      <c r="AA16" s="101"/>
    </row>
    <row r="17" spans="10:27" ht="14.25" customHeight="1" thickTop="1" thickBot="1">
      <c r="J17" s="183">
        <f>SUM('1'!AI37+'2'!AI36+'3'!AI36+'4'!AI36+'5'!AI36+'6'!AI36+'7'!AI36+'8'!AI36+'9'!AI36+'10'!AI36+'11'!AI36+'12'!AI36)</f>
        <v>0</v>
      </c>
      <c r="K17" s="184"/>
      <c r="L17" s="185"/>
      <c r="M17" s="33"/>
      <c r="N17" s="33"/>
      <c r="O17" s="33"/>
      <c r="P17" s="99"/>
      <c r="Q17" s="100"/>
      <c r="R17" s="101"/>
      <c r="S17" s="99"/>
      <c r="T17" s="100"/>
      <c r="U17" s="101"/>
      <c r="V17" s="35"/>
      <c r="W17" s="35"/>
      <c r="X17" s="35"/>
      <c r="Y17" s="192">
        <f>SUM(30-J17)</f>
        <v>30</v>
      </c>
      <c r="Z17" s="193"/>
      <c r="AA17" s="194"/>
    </row>
    <row r="18" spans="10:27" ht="14.25" customHeight="1" thickTop="1">
      <c r="J18" s="186"/>
      <c r="K18" s="187"/>
      <c r="L18" s="188"/>
      <c r="M18" s="33"/>
      <c r="N18" s="33"/>
      <c r="O18" s="33"/>
      <c r="P18" s="102">
        <f>(M11*V11)+AI40</f>
        <v>5840.3159999999998</v>
      </c>
      <c r="Q18" s="103"/>
      <c r="R18" s="104"/>
      <c r="S18" s="111">
        <f>SUM(P18+P11)</f>
        <v>8416.9259999999995</v>
      </c>
      <c r="T18" s="112"/>
      <c r="U18" s="113"/>
      <c r="V18" s="35"/>
      <c r="W18" s="35"/>
      <c r="X18" s="35"/>
      <c r="Y18" s="195"/>
      <c r="Z18" s="196"/>
      <c r="AA18" s="197"/>
    </row>
    <row r="19" spans="10:27" ht="14.25" customHeight="1" thickBot="1">
      <c r="J19" s="189"/>
      <c r="K19" s="190"/>
      <c r="L19" s="191"/>
      <c r="M19" s="33"/>
      <c r="N19" s="33"/>
      <c r="O19" s="33"/>
      <c r="P19" s="105"/>
      <c r="Q19" s="106"/>
      <c r="R19" s="107"/>
      <c r="S19" s="114"/>
      <c r="T19" s="115"/>
      <c r="U19" s="116"/>
      <c r="V19" s="35"/>
      <c r="W19" s="35"/>
      <c r="X19" s="35"/>
      <c r="Y19" s="198"/>
      <c r="Z19" s="199"/>
      <c r="AA19" s="200"/>
    </row>
    <row r="20" spans="10:27" ht="14.25" customHeight="1" thickTop="1" thickBot="1">
      <c r="J20" s="18"/>
      <c r="K20" s="33"/>
      <c r="L20" s="33"/>
      <c r="M20" s="33"/>
      <c r="N20" s="33"/>
      <c r="O20" s="33"/>
      <c r="P20" s="108"/>
      <c r="Q20" s="109"/>
      <c r="R20" s="110"/>
      <c r="S20" s="117"/>
      <c r="T20" s="118"/>
      <c r="U20" s="119"/>
      <c r="V20" s="35"/>
      <c r="W20" s="35"/>
      <c r="X20" s="35"/>
      <c r="Y20" s="35"/>
      <c r="Z20" s="34"/>
      <c r="AA20" s="34"/>
    </row>
    <row r="21" spans="10:27" ht="14.25" customHeight="1" thickTop="1" thickBot="1"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5"/>
      <c r="U21" s="35"/>
      <c r="V21" s="35"/>
      <c r="W21" s="35"/>
      <c r="X21" s="35"/>
      <c r="Y21" s="35"/>
      <c r="Z21" s="34"/>
      <c r="AA21" s="34"/>
    </row>
    <row r="22" spans="10:27" ht="14.25" customHeight="1" thickTop="1">
      <c r="J22" s="18"/>
      <c r="K22" s="33"/>
      <c r="L22" s="33"/>
      <c r="M22" s="33"/>
      <c r="N22" s="33"/>
      <c r="O22" s="33"/>
      <c r="P22" s="93" t="s">
        <v>8</v>
      </c>
      <c r="Q22" s="94"/>
      <c r="R22" s="94"/>
      <c r="S22" s="94"/>
      <c r="T22" s="94"/>
      <c r="U22" s="95"/>
      <c r="V22" s="35"/>
      <c r="W22" s="35"/>
      <c r="X22" s="35"/>
      <c r="Y22" s="35"/>
      <c r="Z22" s="34"/>
      <c r="AA22" s="34"/>
    </row>
    <row r="23" spans="10:27" ht="14.25" customHeight="1">
      <c r="J23" s="18"/>
      <c r="K23" s="33"/>
      <c r="L23" s="33"/>
      <c r="M23" s="33"/>
      <c r="N23" s="33"/>
      <c r="O23" s="33"/>
      <c r="P23" s="96"/>
      <c r="Q23" s="97"/>
      <c r="R23" s="97"/>
      <c r="S23" s="97"/>
      <c r="T23" s="97"/>
      <c r="U23" s="98"/>
      <c r="V23" s="35"/>
      <c r="W23" s="35"/>
      <c r="X23" s="35"/>
      <c r="Y23" s="35"/>
      <c r="Z23" s="34"/>
      <c r="AA23" s="34"/>
    </row>
    <row r="24" spans="10:27" ht="14.25" customHeight="1" thickBot="1">
      <c r="J24" s="18"/>
      <c r="K24" s="33"/>
      <c r="L24" s="33"/>
      <c r="M24" s="33"/>
      <c r="N24" s="33"/>
      <c r="O24" s="33"/>
      <c r="P24" s="99"/>
      <c r="Q24" s="100"/>
      <c r="R24" s="100"/>
      <c r="S24" s="100"/>
      <c r="T24" s="100"/>
      <c r="U24" s="101"/>
      <c r="V24" s="35"/>
      <c r="W24" s="35"/>
      <c r="X24" s="35"/>
      <c r="Y24" s="35"/>
      <c r="Z24" s="34"/>
      <c r="AA24" s="34"/>
    </row>
    <row r="25" spans="10:27" ht="14.25" customHeight="1" thickTop="1">
      <c r="J25" s="18"/>
      <c r="K25" s="33"/>
      <c r="L25" s="33"/>
      <c r="M25" s="33"/>
      <c r="N25" s="33"/>
      <c r="O25" s="33"/>
      <c r="P25" s="120">
        <v>1000</v>
      </c>
      <c r="Q25" s="121"/>
      <c r="R25" s="121"/>
      <c r="S25" s="121"/>
      <c r="T25" s="121"/>
      <c r="U25" s="122"/>
      <c r="V25" s="35"/>
      <c r="W25" s="35"/>
      <c r="X25" s="35"/>
      <c r="Y25" s="35"/>
      <c r="Z25" s="34"/>
      <c r="AA25" s="34"/>
    </row>
    <row r="26" spans="10:27" ht="14.25" customHeight="1">
      <c r="J26" s="18"/>
      <c r="K26" s="33"/>
      <c r="L26" s="33"/>
      <c r="M26" s="33"/>
      <c r="N26" s="33"/>
      <c r="O26" s="33"/>
      <c r="P26" s="123"/>
      <c r="Q26" s="124"/>
      <c r="R26" s="124"/>
      <c r="S26" s="124"/>
      <c r="T26" s="124"/>
      <c r="U26" s="125"/>
      <c r="V26" s="35"/>
      <c r="W26" s="35"/>
      <c r="X26" s="35"/>
      <c r="Y26" s="35"/>
      <c r="Z26" s="34"/>
      <c r="AA26" s="34"/>
    </row>
    <row r="27" spans="10:27" ht="14.25" customHeight="1" thickBot="1">
      <c r="J27" s="18"/>
      <c r="K27" s="33"/>
      <c r="L27" s="33"/>
      <c r="M27" s="33"/>
      <c r="N27" s="33"/>
      <c r="O27" s="33"/>
      <c r="P27" s="126"/>
      <c r="Q27" s="127"/>
      <c r="R27" s="127"/>
      <c r="S27" s="127"/>
      <c r="T27" s="127"/>
      <c r="U27" s="128"/>
      <c r="V27" s="35"/>
      <c r="W27" s="35"/>
      <c r="X27" s="35"/>
      <c r="Y27" s="35"/>
      <c r="Z27" s="34"/>
      <c r="AA27" s="34"/>
    </row>
    <row r="28" spans="10:27" ht="14.25" customHeight="1" thickTop="1" thickBot="1"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5"/>
      <c r="U28" s="35"/>
      <c r="V28" s="35"/>
      <c r="W28" s="35"/>
      <c r="X28" s="35"/>
      <c r="Y28" s="35"/>
      <c r="Z28" s="34"/>
      <c r="AA28" s="34"/>
    </row>
    <row r="29" spans="10:27" ht="14.25" customHeight="1" thickTop="1">
      <c r="J29" s="18"/>
      <c r="K29" s="33"/>
      <c r="L29" s="33"/>
      <c r="M29" s="33"/>
      <c r="N29" s="33"/>
      <c r="O29" s="33"/>
      <c r="P29" s="93" t="s">
        <v>12</v>
      </c>
      <c r="Q29" s="94"/>
      <c r="R29" s="95"/>
      <c r="S29" s="93" t="s">
        <v>13</v>
      </c>
      <c r="T29" s="94"/>
      <c r="U29" s="95"/>
      <c r="V29" s="35"/>
      <c r="W29" s="35"/>
      <c r="X29" s="35"/>
      <c r="Y29" s="35"/>
      <c r="Z29" s="34"/>
      <c r="AA29" s="34"/>
    </row>
    <row r="30" spans="10:27" ht="14.25" customHeight="1">
      <c r="J30" s="18"/>
      <c r="K30" s="33"/>
      <c r="L30" s="33"/>
      <c r="M30" s="33"/>
      <c r="N30" s="33"/>
      <c r="O30" s="33"/>
      <c r="P30" s="96"/>
      <c r="Q30" s="97"/>
      <c r="R30" s="98"/>
      <c r="S30" s="96"/>
      <c r="T30" s="97"/>
      <c r="U30" s="98"/>
      <c r="V30" s="35"/>
      <c r="W30" s="35"/>
      <c r="X30" s="35"/>
      <c r="Y30" s="35"/>
      <c r="Z30" s="34"/>
      <c r="AA30" s="34"/>
    </row>
    <row r="31" spans="10:27" ht="14.25" customHeight="1" thickBot="1">
      <c r="J31" s="18"/>
      <c r="K31" s="33"/>
      <c r="L31" s="33"/>
      <c r="M31" s="33"/>
      <c r="N31" s="33"/>
      <c r="O31" s="33"/>
      <c r="P31" s="99"/>
      <c r="Q31" s="100"/>
      <c r="R31" s="101"/>
      <c r="S31" s="99"/>
      <c r="T31" s="100"/>
      <c r="U31" s="101"/>
      <c r="V31" s="35"/>
      <c r="W31" s="35"/>
      <c r="X31" s="35"/>
      <c r="Y31" s="35"/>
      <c r="Z31" s="34"/>
      <c r="AA31" s="34"/>
    </row>
    <row r="32" spans="10:27" ht="14.25" customHeight="1" thickTop="1">
      <c r="J32" s="18"/>
      <c r="K32" s="33"/>
      <c r="L32" s="33"/>
      <c r="M32" s="33"/>
      <c r="N32" s="33"/>
      <c r="O32" s="33"/>
      <c r="P32" s="102">
        <f>SUM(P18-P25)</f>
        <v>4840.3159999999998</v>
      </c>
      <c r="Q32" s="103"/>
      <c r="R32" s="104"/>
      <c r="S32" s="111">
        <f>SUM(S18-P25)</f>
        <v>7416.9259999999995</v>
      </c>
      <c r="T32" s="112"/>
      <c r="U32" s="113"/>
      <c r="V32" s="35"/>
      <c r="W32" s="35"/>
      <c r="X32" s="35"/>
      <c r="Y32" s="35"/>
      <c r="Z32" s="34"/>
      <c r="AA32" s="34"/>
    </row>
    <row r="33" spans="2:38" ht="14.25" customHeight="1">
      <c r="J33" s="18"/>
      <c r="K33" s="33"/>
      <c r="L33" s="33"/>
      <c r="M33" s="33"/>
      <c r="N33" s="33"/>
      <c r="O33" s="33"/>
      <c r="P33" s="105"/>
      <c r="Q33" s="106"/>
      <c r="R33" s="107"/>
      <c r="S33" s="114"/>
      <c r="T33" s="115"/>
      <c r="U33" s="116"/>
      <c r="V33" s="35"/>
      <c r="W33" s="35"/>
      <c r="X33" s="35"/>
      <c r="Y33" s="35"/>
      <c r="Z33" s="34"/>
      <c r="AA33" s="34"/>
    </row>
    <row r="34" spans="2:38" ht="14.25" customHeight="1" thickBot="1">
      <c r="J34" s="18"/>
      <c r="K34" s="33"/>
      <c r="L34" s="33"/>
      <c r="M34" s="33"/>
      <c r="N34" s="33"/>
      <c r="O34" s="33"/>
      <c r="P34" s="108"/>
      <c r="Q34" s="109"/>
      <c r="R34" s="110"/>
      <c r="S34" s="117"/>
      <c r="T34" s="118"/>
      <c r="U34" s="119"/>
      <c r="V34" s="35"/>
      <c r="W34" s="35"/>
      <c r="X34" s="35"/>
      <c r="Y34" s="35"/>
      <c r="Z34" s="34"/>
      <c r="AA34" s="34"/>
    </row>
    <row r="35" spans="2:38" ht="14.25" customHeight="1" thickTop="1" thickBot="1"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38" ht="30" customHeight="1" thickTop="1" thickBo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I36" s="13">
        <f>SUM(C36:AG36)</f>
        <v>0</v>
      </c>
      <c r="AJ36" s="15" t="s">
        <v>5</v>
      </c>
    </row>
    <row r="37" spans="2:38" ht="30" customHeight="1" thickTop="1" thickBot="1">
      <c r="B37" s="2" t="s">
        <v>0</v>
      </c>
      <c r="C37" s="20">
        <v>27</v>
      </c>
      <c r="D37" s="21">
        <v>28</v>
      </c>
      <c r="E37" s="21">
        <v>29</v>
      </c>
      <c r="F37" s="21">
        <v>30</v>
      </c>
      <c r="G37" s="10">
        <v>31</v>
      </c>
      <c r="H37" s="38">
        <v>1</v>
      </c>
      <c r="I37" s="42">
        <v>2</v>
      </c>
      <c r="J37" s="21">
        <v>3</v>
      </c>
      <c r="K37" s="21">
        <v>4</v>
      </c>
      <c r="L37" s="21">
        <v>5</v>
      </c>
      <c r="M37" s="21">
        <v>6</v>
      </c>
      <c r="N37" s="21">
        <v>7</v>
      </c>
      <c r="O37" s="38">
        <v>8</v>
      </c>
      <c r="P37" s="21">
        <v>9</v>
      </c>
      <c r="Q37" s="21">
        <v>10</v>
      </c>
      <c r="R37" s="21">
        <v>11</v>
      </c>
      <c r="S37" s="21">
        <v>12</v>
      </c>
      <c r="T37" s="21">
        <v>13</v>
      </c>
      <c r="U37" s="21">
        <v>14</v>
      </c>
      <c r="V37" s="38">
        <v>15</v>
      </c>
      <c r="W37" s="21">
        <v>16</v>
      </c>
      <c r="X37" s="21">
        <v>17</v>
      </c>
      <c r="Y37" s="21">
        <v>18</v>
      </c>
      <c r="Z37" s="21">
        <v>19</v>
      </c>
      <c r="AA37" s="21">
        <v>20</v>
      </c>
      <c r="AB37" s="21">
        <v>21</v>
      </c>
      <c r="AC37" s="38">
        <v>22</v>
      </c>
      <c r="AD37" s="21">
        <v>23</v>
      </c>
      <c r="AE37" s="21">
        <v>24</v>
      </c>
      <c r="AF37" s="21">
        <v>25</v>
      </c>
      <c r="AG37" s="46">
        <v>26</v>
      </c>
      <c r="AL37" s="5"/>
    </row>
    <row r="38" spans="2:38" ht="30" customHeight="1" thickTop="1" thickBot="1">
      <c r="B38" s="3" t="s">
        <v>1</v>
      </c>
      <c r="C38" s="22">
        <v>1</v>
      </c>
      <c r="D38" s="23">
        <v>1</v>
      </c>
      <c r="E38" s="23">
        <v>1</v>
      </c>
      <c r="F38" s="23">
        <v>1</v>
      </c>
      <c r="G38" s="11">
        <v>0</v>
      </c>
      <c r="H38" s="39">
        <v>1</v>
      </c>
      <c r="I38" s="43">
        <v>1</v>
      </c>
      <c r="J38" s="23">
        <v>1</v>
      </c>
      <c r="K38" s="23">
        <v>1</v>
      </c>
      <c r="L38" s="23">
        <v>1</v>
      </c>
      <c r="M38" s="23">
        <v>1</v>
      </c>
      <c r="N38" s="23">
        <v>1</v>
      </c>
      <c r="O38" s="39">
        <v>1</v>
      </c>
      <c r="P38" s="23">
        <v>1</v>
      </c>
      <c r="Q38" s="23">
        <v>1</v>
      </c>
      <c r="R38" s="23">
        <v>1</v>
      </c>
      <c r="S38" s="23">
        <v>1</v>
      </c>
      <c r="T38" s="23">
        <v>1</v>
      </c>
      <c r="U38" s="23">
        <v>1</v>
      </c>
      <c r="V38" s="39">
        <v>1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B38" s="23">
        <v>1</v>
      </c>
      <c r="AC38" s="39">
        <v>1</v>
      </c>
      <c r="AD38" s="23">
        <v>1</v>
      </c>
      <c r="AE38" s="23">
        <v>1</v>
      </c>
      <c r="AF38" s="23">
        <v>1</v>
      </c>
      <c r="AG38" s="47">
        <v>1</v>
      </c>
      <c r="AI38" s="4">
        <f>SUM(C38:AG38)</f>
        <v>30</v>
      </c>
      <c r="AJ38" s="15" t="s">
        <v>3</v>
      </c>
    </row>
    <row r="39" spans="2:38" ht="30" customHeight="1" thickTop="1" thickBot="1">
      <c r="B39" s="7" t="s">
        <v>2</v>
      </c>
      <c r="C39" s="24">
        <v>1</v>
      </c>
      <c r="D39" s="25">
        <v>1</v>
      </c>
      <c r="E39" s="25">
        <v>1</v>
      </c>
      <c r="F39" s="25">
        <v>1</v>
      </c>
      <c r="G39" s="12">
        <v>0</v>
      </c>
      <c r="H39" s="40">
        <v>3</v>
      </c>
      <c r="I39" s="44">
        <v>2</v>
      </c>
      <c r="J39" s="25">
        <v>1</v>
      </c>
      <c r="K39" s="25">
        <v>1</v>
      </c>
      <c r="L39" s="25">
        <v>1</v>
      </c>
      <c r="M39" s="25">
        <v>1</v>
      </c>
      <c r="N39" s="25">
        <v>1</v>
      </c>
      <c r="O39" s="40">
        <v>3</v>
      </c>
      <c r="P39" s="25">
        <v>1</v>
      </c>
      <c r="Q39" s="25">
        <v>1</v>
      </c>
      <c r="R39" s="25">
        <v>1</v>
      </c>
      <c r="S39" s="25">
        <v>1</v>
      </c>
      <c r="T39" s="25">
        <v>1</v>
      </c>
      <c r="U39" s="25">
        <v>1</v>
      </c>
      <c r="V39" s="40">
        <v>3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B39" s="25">
        <v>1</v>
      </c>
      <c r="AC39" s="40">
        <v>3</v>
      </c>
      <c r="AD39" s="25">
        <v>1</v>
      </c>
      <c r="AE39" s="25">
        <v>1</v>
      </c>
      <c r="AF39" s="25">
        <v>1</v>
      </c>
      <c r="AG39" s="48">
        <v>0</v>
      </c>
      <c r="AI39" s="6">
        <f>SUM(C39:AG39)</f>
        <v>38</v>
      </c>
      <c r="AJ39" s="17" t="s">
        <v>6</v>
      </c>
    </row>
    <row r="40" spans="2:38" ht="30" customHeight="1" thickTop="1" thickBot="1">
      <c r="B40" s="8"/>
      <c r="C40" s="26"/>
      <c r="D40" s="27"/>
      <c r="E40" s="27"/>
      <c r="F40" s="27"/>
      <c r="G40" s="19"/>
      <c r="H40" s="41"/>
      <c r="I40" s="45"/>
      <c r="J40" s="27"/>
      <c r="K40" s="27"/>
      <c r="L40" s="27"/>
      <c r="M40" s="27"/>
      <c r="N40" s="27"/>
      <c r="O40" s="41"/>
      <c r="P40" s="27"/>
      <c r="Q40" s="27"/>
      <c r="R40" s="27"/>
      <c r="S40" s="27"/>
      <c r="T40" s="27"/>
      <c r="U40" s="27"/>
      <c r="V40" s="41"/>
      <c r="W40" s="27"/>
      <c r="X40" s="27"/>
      <c r="Y40" s="27"/>
      <c r="Z40" s="27"/>
      <c r="AA40" s="27"/>
      <c r="AB40" s="27"/>
      <c r="AC40" s="41"/>
      <c r="AD40" s="27"/>
      <c r="AE40" s="27"/>
      <c r="AF40" s="27"/>
      <c r="AG40" s="49"/>
      <c r="AI40" s="9">
        <f>SUM(C40:AG40)</f>
        <v>0</v>
      </c>
      <c r="AJ40" s="16" t="s">
        <v>7</v>
      </c>
    </row>
    <row r="41" spans="2:38" ht="14.25" customHeight="1" thickTop="1"/>
  </sheetData>
  <mergeCells count="21">
    <mergeCell ref="J14:L16"/>
    <mergeCell ref="J17:L19"/>
    <mergeCell ref="Y14:AA16"/>
    <mergeCell ref="Y17:AA19"/>
    <mergeCell ref="J2:AA5"/>
    <mergeCell ref="M8:O10"/>
    <mergeCell ref="P8:U10"/>
    <mergeCell ref="V8:X10"/>
    <mergeCell ref="M11:O13"/>
    <mergeCell ref="P11:U13"/>
    <mergeCell ref="V11:X13"/>
    <mergeCell ref="P15:R17"/>
    <mergeCell ref="S15:U17"/>
    <mergeCell ref="P18:R20"/>
    <mergeCell ref="S18:U20"/>
    <mergeCell ref="P22:U24"/>
    <mergeCell ref="P25:U27"/>
    <mergeCell ref="P29:R31"/>
    <mergeCell ref="S29:U31"/>
    <mergeCell ref="P32:R34"/>
    <mergeCell ref="S32:U34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1"/>
  <sheetViews>
    <sheetView showGridLines="0" zoomScale="50" zoomScaleNormal="50" workbookViewId="0">
      <selection activeCell="F36" sqref="F36"/>
    </sheetView>
  </sheetViews>
  <sheetFormatPr defaultColWidth="9" defaultRowHeight="14.25" customHeight="1"/>
  <cols>
    <col min="1" max="1" width="5.6640625" style="1" customWidth="1"/>
    <col min="2" max="2" width="32.77734375" style="1" customWidth="1"/>
    <col min="3" max="33" width="9" style="1"/>
    <col min="34" max="34" width="5.21875" style="1" customWidth="1"/>
    <col min="35" max="35" width="12.44140625" style="1" customWidth="1"/>
    <col min="36" max="36" width="11.44140625" style="1" customWidth="1"/>
    <col min="37" max="37" width="4.44140625" style="1" customWidth="1"/>
    <col min="38" max="38" width="5.21875" style="1" customWidth="1"/>
    <col min="39" max="16384" width="9" style="1"/>
  </cols>
  <sheetData>
    <row r="1" spans="10:27" ht="14.25" customHeight="1" thickBot="1"/>
    <row r="2" spans="10:27" ht="14.25" customHeight="1" thickTop="1">
      <c r="J2" s="138" t="s">
        <v>21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</row>
    <row r="3" spans="10:27" ht="14.25" customHeight="1"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</row>
    <row r="4" spans="10:27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10:27" ht="14.25" customHeight="1" thickBot="1"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</row>
    <row r="6" spans="10:27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10:27" ht="14.25" customHeight="1" thickBo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10:27" ht="14.25" customHeight="1" thickTop="1">
      <c r="J8" s="32"/>
      <c r="K8" s="35"/>
      <c r="L8" s="35"/>
      <c r="M8" s="93" t="s">
        <v>4</v>
      </c>
      <c r="N8" s="94"/>
      <c r="O8" s="95"/>
      <c r="P8" s="93" t="s">
        <v>14</v>
      </c>
      <c r="Q8" s="94"/>
      <c r="R8" s="94"/>
      <c r="S8" s="94"/>
      <c r="T8" s="94"/>
      <c r="U8" s="95"/>
      <c r="V8" s="93" t="s">
        <v>11</v>
      </c>
      <c r="W8" s="94"/>
      <c r="X8" s="95"/>
      <c r="Y8" s="35"/>
      <c r="Z8" s="34"/>
      <c r="AA8" s="34"/>
    </row>
    <row r="9" spans="10:27" ht="14.25" customHeight="1">
      <c r="J9" s="32"/>
      <c r="K9" s="35"/>
      <c r="L9" s="35"/>
      <c r="M9" s="96"/>
      <c r="N9" s="97"/>
      <c r="O9" s="98"/>
      <c r="P9" s="96"/>
      <c r="Q9" s="97"/>
      <c r="R9" s="97"/>
      <c r="S9" s="97"/>
      <c r="T9" s="97"/>
      <c r="U9" s="98"/>
      <c r="V9" s="96"/>
      <c r="W9" s="97"/>
      <c r="X9" s="98"/>
      <c r="Y9" s="35"/>
      <c r="Z9" s="34"/>
      <c r="AA9" s="34"/>
    </row>
    <row r="10" spans="10:27" ht="14.25" customHeight="1" thickBot="1">
      <c r="J10" s="32"/>
      <c r="K10" s="35"/>
      <c r="L10" s="35"/>
      <c r="M10" s="99"/>
      <c r="N10" s="100"/>
      <c r="O10" s="101"/>
      <c r="P10" s="99"/>
      <c r="Q10" s="100"/>
      <c r="R10" s="100"/>
      <c r="S10" s="100"/>
      <c r="T10" s="100"/>
      <c r="U10" s="101"/>
      <c r="V10" s="99"/>
      <c r="W10" s="100"/>
      <c r="X10" s="101"/>
      <c r="Y10" s="35"/>
      <c r="Z10" s="34"/>
      <c r="AA10" s="34"/>
    </row>
    <row r="11" spans="10:27" ht="14.25" customHeight="1" thickTop="1">
      <c r="J11" s="32"/>
      <c r="K11" s="35"/>
      <c r="L11" s="35"/>
      <c r="M11" s="147">
        <f>SUM(AI38:AI39)</f>
        <v>53</v>
      </c>
      <c r="N11" s="148"/>
      <c r="O11" s="149"/>
      <c r="P11" s="165">
        <f>SUM('1'!S12:U14)</f>
        <v>2576.61</v>
      </c>
      <c r="Q11" s="166"/>
      <c r="R11" s="166"/>
      <c r="S11" s="166"/>
      <c r="T11" s="166"/>
      <c r="U11" s="167"/>
      <c r="V11" s="201">
        <f>SUM(P11/30)</f>
        <v>85.887</v>
      </c>
      <c r="W11" s="202"/>
      <c r="X11" s="203"/>
      <c r="Y11" s="35"/>
      <c r="Z11" s="34"/>
      <c r="AA11" s="34"/>
    </row>
    <row r="12" spans="10:27" ht="14.25" customHeight="1">
      <c r="J12" s="32"/>
      <c r="K12" s="35"/>
      <c r="L12" s="35"/>
      <c r="M12" s="150"/>
      <c r="N12" s="151"/>
      <c r="O12" s="152"/>
      <c r="P12" s="168"/>
      <c r="Q12" s="169"/>
      <c r="R12" s="169"/>
      <c r="S12" s="169"/>
      <c r="T12" s="169"/>
      <c r="U12" s="170"/>
      <c r="V12" s="204"/>
      <c r="W12" s="205"/>
      <c r="X12" s="206"/>
      <c r="Y12" s="35"/>
      <c r="Z12" s="34"/>
      <c r="AA12" s="34"/>
    </row>
    <row r="13" spans="10:27" ht="14.25" customHeight="1" thickBot="1">
      <c r="J13" s="32"/>
      <c r="K13" s="35"/>
      <c r="L13" s="35"/>
      <c r="M13" s="153"/>
      <c r="N13" s="154"/>
      <c r="O13" s="155"/>
      <c r="P13" s="171"/>
      <c r="Q13" s="172"/>
      <c r="R13" s="172"/>
      <c r="S13" s="172"/>
      <c r="T13" s="172"/>
      <c r="U13" s="173"/>
      <c r="V13" s="207"/>
      <c r="W13" s="208"/>
      <c r="X13" s="209"/>
      <c r="Y13" s="35"/>
      <c r="Z13" s="34"/>
      <c r="AA13" s="34"/>
    </row>
    <row r="14" spans="10:27" ht="14.25" customHeight="1" thickTop="1" thickBot="1">
      <c r="J14" s="174" t="s">
        <v>27</v>
      </c>
      <c r="K14" s="175"/>
      <c r="L14" s="176"/>
      <c r="M14" s="33"/>
      <c r="N14" s="33"/>
      <c r="O14" s="33"/>
      <c r="P14" s="33"/>
      <c r="Q14" s="33"/>
      <c r="R14" s="33"/>
      <c r="S14" s="33"/>
      <c r="T14" s="35"/>
      <c r="U14" s="35"/>
      <c r="V14" s="35"/>
      <c r="W14" s="35"/>
      <c r="X14" s="35"/>
      <c r="Y14" s="93" t="s">
        <v>28</v>
      </c>
      <c r="Z14" s="94"/>
      <c r="AA14" s="95"/>
    </row>
    <row r="15" spans="10:27" ht="14.25" customHeight="1" thickTop="1">
      <c r="J15" s="177"/>
      <c r="K15" s="178"/>
      <c r="L15" s="179"/>
      <c r="M15" s="33"/>
      <c r="N15" s="33"/>
      <c r="O15" s="33"/>
      <c r="P15" s="93" t="s">
        <v>12</v>
      </c>
      <c r="Q15" s="94"/>
      <c r="R15" s="95"/>
      <c r="S15" s="93" t="s">
        <v>13</v>
      </c>
      <c r="T15" s="94"/>
      <c r="U15" s="95"/>
      <c r="V15" s="35"/>
      <c r="W15" s="35"/>
      <c r="X15" s="35"/>
      <c r="Y15" s="96"/>
      <c r="Z15" s="97"/>
      <c r="AA15" s="98"/>
    </row>
    <row r="16" spans="10:27" ht="14.25" customHeight="1" thickBot="1">
      <c r="J16" s="180"/>
      <c r="K16" s="181"/>
      <c r="L16" s="182"/>
      <c r="M16" s="33"/>
      <c r="N16" s="33"/>
      <c r="O16" s="33"/>
      <c r="P16" s="96"/>
      <c r="Q16" s="97"/>
      <c r="R16" s="98"/>
      <c r="S16" s="96"/>
      <c r="T16" s="97"/>
      <c r="U16" s="98"/>
      <c r="V16" s="35"/>
      <c r="W16" s="35"/>
      <c r="X16" s="35"/>
      <c r="Y16" s="99"/>
      <c r="Z16" s="100"/>
      <c r="AA16" s="101"/>
    </row>
    <row r="17" spans="10:27" ht="14.25" customHeight="1" thickTop="1" thickBot="1">
      <c r="J17" s="183">
        <f>SUM('1'!AI37+'2'!AI36+'3'!AI36+'4'!AI36+'5'!AI36+'6'!AI36+'7'!AI36+'8'!AI36+'9'!AI36+'10'!AI36+'11'!AI36+'12'!AI36)</f>
        <v>0</v>
      </c>
      <c r="K17" s="184"/>
      <c r="L17" s="185"/>
      <c r="M17" s="33"/>
      <c r="N17" s="33"/>
      <c r="O17" s="33"/>
      <c r="P17" s="99"/>
      <c r="Q17" s="100"/>
      <c r="R17" s="101"/>
      <c r="S17" s="99"/>
      <c r="T17" s="100"/>
      <c r="U17" s="101"/>
      <c r="V17" s="35"/>
      <c r="W17" s="35"/>
      <c r="X17" s="35"/>
      <c r="Y17" s="192">
        <f>SUM(30-J17)</f>
        <v>30</v>
      </c>
      <c r="Z17" s="193"/>
      <c r="AA17" s="194"/>
    </row>
    <row r="18" spans="10:27" ht="14.25" customHeight="1" thickTop="1">
      <c r="J18" s="186"/>
      <c r="K18" s="187"/>
      <c r="L18" s="188"/>
      <c r="M18" s="33"/>
      <c r="N18" s="33"/>
      <c r="O18" s="33"/>
      <c r="P18" s="102">
        <f>(M11*V11)+AI40</f>
        <v>4552.0110000000004</v>
      </c>
      <c r="Q18" s="103"/>
      <c r="R18" s="104"/>
      <c r="S18" s="111">
        <f>SUM(P18+P11)</f>
        <v>7128.621000000001</v>
      </c>
      <c r="T18" s="112"/>
      <c r="U18" s="113"/>
      <c r="V18" s="35"/>
      <c r="W18" s="35"/>
      <c r="X18" s="35"/>
      <c r="Y18" s="195"/>
      <c r="Z18" s="196"/>
      <c r="AA18" s="197"/>
    </row>
    <row r="19" spans="10:27" ht="14.25" customHeight="1" thickBot="1">
      <c r="J19" s="189"/>
      <c r="K19" s="190"/>
      <c r="L19" s="191"/>
      <c r="M19" s="33"/>
      <c r="N19" s="33"/>
      <c r="O19" s="33"/>
      <c r="P19" s="105"/>
      <c r="Q19" s="106"/>
      <c r="R19" s="107"/>
      <c r="S19" s="114"/>
      <c r="T19" s="115"/>
      <c r="U19" s="116"/>
      <c r="V19" s="35"/>
      <c r="W19" s="35"/>
      <c r="X19" s="35"/>
      <c r="Y19" s="198"/>
      <c r="Z19" s="199"/>
      <c r="AA19" s="200"/>
    </row>
    <row r="20" spans="10:27" ht="14.25" customHeight="1" thickTop="1" thickBot="1">
      <c r="J20" s="18"/>
      <c r="K20" s="33"/>
      <c r="L20" s="33"/>
      <c r="M20" s="33"/>
      <c r="N20" s="33"/>
      <c r="O20" s="33"/>
      <c r="P20" s="108"/>
      <c r="Q20" s="109"/>
      <c r="R20" s="110"/>
      <c r="S20" s="117"/>
      <c r="T20" s="118"/>
      <c r="U20" s="119"/>
      <c r="V20" s="35"/>
      <c r="W20" s="35"/>
      <c r="X20" s="35"/>
      <c r="Y20" s="35"/>
      <c r="Z20" s="34"/>
      <c r="AA20" s="34"/>
    </row>
    <row r="21" spans="10:27" ht="14.25" customHeight="1" thickTop="1" thickBot="1"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5"/>
      <c r="U21" s="35"/>
      <c r="V21" s="35"/>
      <c r="W21" s="35"/>
      <c r="X21" s="35"/>
      <c r="Y21" s="35"/>
      <c r="Z21" s="34"/>
      <c r="AA21" s="34"/>
    </row>
    <row r="22" spans="10:27" ht="14.25" customHeight="1" thickTop="1">
      <c r="J22" s="18"/>
      <c r="K22" s="33"/>
      <c r="L22" s="33"/>
      <c r="M22" s="33"/>
      <c r="N22" s="33"/>
      <c r="O22" s="33"/>
      <c r="P22" s="93" t="s">
        <v>8</v>
      </c>
      <c r="Q22" s="94"/>
      <c r="R22" s="94"/>
      <c r="S22" s="94"/>
      <c r="T22" s="94"/>
      <c r="U22" s="95"/>
      <c r="V22" s="35"/>
      <c r="W22" s="35"/>
      <c r="X22" s="35"/>
      <c r="Y22" s="35"/>
      <c r="Z22" s="34"/>
      <c r="AA22" s="34"/>
    </row>
    <row r="23" spans="10:27" ht="14.25" customHeight="1">
      <c r="J23" s="18"/>
      <c r="K23" s="33"/>
      <c r="L23" s="33"/>
      <c r="M23" s="33"/>
      <c r="N23" s="33"/>
      <c r="O23" s="33"/>
      <c r="P23" s="96"/>
      <c r="Q23" s="97"/>
      <c r="R23" s="97"/>
      <c r="S23" s="97"/>
      <c r="T23" s="97"/>
      <c r="U23" s="98"/>
      <c r="V23" s="35"/>
      <c r="W23" s="35"/>
      <c r="X23" s="35"/>
      <c r="Y23" s="35"/>
      <c r="Z23" s="34"/>
      <c r="AA23" s="34"/>
    </row>
    <row r="24" spans="10:27" ht="14.25" customHeight="1" thickBot="1">
      <c r="J24" s="18"/>
      <c r="K24" s="33"/>
      <c r="L24" s="33"/>
      <c r="M24" s="33"/>
      <c r="N24" s="33"/>
      <c r="O24" s="33"/>
      <c r="P24" s="99"/>
      <c r="Q24" s="100"/>
      <c r="R24" s="100"/>
      <c r="S24" s="100"/>
      <c r="T24" s="100"/>
      <c r="U24" s="101"/>
      <c r="V24" s="35"/>
      <c r="W24" s="35"/>
      <c r="X24" s="35"/>
      <c r="Y24" s="35"/>
      <c r="Z24" s="34"/>
      <c r="AA24" s="34"/>
    </row>
    <row r="25" spans="10:27" ht="14.25" customHeight="1" thickTop="1">
      <c r="J25" s="18"/>
      <c r="K25" s="33"/>
      <c r="L25" s="33"/>
      <c r="M25" s="33"/>
      <c r="N25" s="33"/>
      <c r="O25" s="33"/>
      <c r="P25" s="120">
        <v>1000</v>
      </c>
      <c r="Q25" s="121"/>
      <c r="R25" s="121"/>
      <c r="S25" s="121"/>
      <c r="T25" s="121"/>
      <c r="U25" s="122"/>
      <c r="V25" s="35"/>
      <c r="W25" s="35"/>
      <c r="X25" s="35"/>
      <c r="Y25" s="35"/>
      <c r="Z25" s="34"/>
      <c r="AA25" s="34"/>
    </row>
    <row r="26" spans="10:27" ht="14.25" customHeight="1">
      <c r="J26" s="18"/>
      <c r="K26" s="33"/>
      <c r="L26" s="33"/>
      <c r="M26" s="33"/>
      <c r="N26" s="33"/>
      <c r="O26" s="33"/>
      <c r="P26" s="123"/>
      <c r="Q26" s="124"/>
      <c r="R26" s="124"/>
      <c r="S26" s="124"/>
      <c r="T26" s="124"/>
      <c r="U26" s="125"/>
      <c r="V26" s="35"/>
      <c r="W26" s="35"/>
      <c r="X26" s="35"/>
      <c r="Y26" s="35"/>
      <c r="Z26" s="34"/>
      <c r="AA26" s="34"/>
    </row>
    <row r="27" spans="10:27" ht="14.25" customHeight="1" thickBot="1">
      <c r="J27" s="18"/>
      <c r="K27" s="33"/>
      <c r="L27" s="33"/>
      <c r="M27" s="33"/>
      <c r="N27" s="33"/>
      <c r="O27" s="33"/>
      <c r="P27" s="126"/>
      <c r="Q27" s="127"/>
      <c r="R27" s="127"/>
      <c r="S27" s="127"/>
      <c r="T27" s="127"/>
      <c r="U27" s="128"/>
      <c r="V27" s="35"/>
      <c r="W27" s="35"/>
      <c r="X27" s="35"/>
      <c r="Y27" s="35"/>
      <c r="Z27" s="34"/>
      <c r="AA27" s="34"/>
    </row>
    <row r="28" spans="10:27" ht="14.25" customHeight="1" thickTop="1" thickBot="1"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5"/>
      <c r="U28" s="35"/>
      <c r="V28" s="35"/>
      <c r="W28" s="35"/>
      <c r="X28" s="35"/>
      <c r="Y28" s="35"/>
      <c r="Z28" s="34"/>
      <c r="AA28" s="34"/>
    </row>
    <row r="29" spans="10:27" ht="14.25" customHeight="1" thickTop="1">
      <c r="J29" s="18"/>
      <c r="K29" s="33"/>
      <c r="L29" s="33"/>
      <c r="M29" s="33"/>
      <c r="N29" s="33"/>
      <c r="O29" s="33"/>
      <c r="P29" s="93" t="s">
        <v>12</v>
      </c>
      <c r="Q29" s="94"/>
      <c r="R29" s="95"/>
      <c r="S29" s="93" t="s">
        <v>13</v>
      </c>
      <c r="T29" s="94"/>
      <c r="U29" s="95"/>
      <c r="V29" s="35"/>
      <c r="W29" s="35"/>
      <c r="X29" s="35"/>
      <c r="Y29" s="35"/>
      <c r="Z29" s="34"/>
      <c r="AA29" s="34"/>
    </row>
    <row r="30" spans="10:27" ht="14.25" customHeight="1">
      <c r="J30" s="18"/>
      <c r="K30" s="33"/>
      <c r="L30" s="33"/>
      <c r="M30" s="33"/>
      <c r="N30" s="33"/>
      <c r="O30" s="33"/>
      <c r="P30" s="96"/>
      <c r="Q30" s="97"/>
      <c r="R30" s="98"/>
      <c r="S30" s="96"/>
      <c r="T30" s="97"/>
      <c r="U30" s="98"/>
      <c r="V30" s="35"/>
      <c r="W30" s="35"/>
      <c r="X30" s="35"/>
      <c r="Y30" s="35"/>
      <c r="Z30" s="34"/>
      <c r="AA30" s="34"/>
    </row>
    <row r="31" spans="10:27" ht="14.25" customHeight="1" thickBot="1">
      <c r="J31" s="18"/>
      <c r="K31" s="33"/>
      <c r="L31" s="33"/>
      <c r="M31" s="33"/>
      <c r="N31" s="33"/>
      <c r="O31" s="33"/>
      <c r="P31" s="99"/>
      <c r="Q31" s="100"/>
      <c r="R31" s="101"/>
      <c r="S31" s="99"/>
      <c r="T31" s="100"/>
      <c r="U31" s="101"/>
      <c r="V31" s="35"/>
      <c r="W31" s="35"/>
      <c r="X31" s="35"/>
      <c r="Y31" s="35"/>
      <c r="Z31" s="34"/>
      <c r="AA31" s="34"/>
    </row>
    <row r="32" spans="10:27" ht="14.25" customHeight="1" thickTop="1">
      <c r="J32" s="18"/>
      <c r="K32" s="33"/>
      <c r="L32" s="33"/>
      <c r="M32" s="33"/>
      <c r="N32" s="33"/>
      <c r="O32" s="33"/>
      <c r="P32" s="102">
        <f>SUM(P18-P25)</f>
        <v>3552.0110000000004</v>
      </c>
      <c r="Q32" s="103"/>
      <c r="R32" s="104"/>
      <c r="S32" s="111">
        <f>SUM(S18-P25)</f>
        <v>6128.621000000001</v>
      </c>
      <c r="T32" s="112"/>
      <c r="U32" s="113"/>
      <c r="V32" s="35"/>
      <c r="W32" s="35"/>
      <c r="X32" s="35"/>
      <c r="Y32" s="35"/>
      <c r="Z32" s="34"/>
      <c r="AA32" s="34"/>
    </row>
    <row r="33" spans="2:38" ht="14.25" customHeight="1">
      <c r="J33" s="18"/>
      <c r="K33" s="33"/>
      <c r="L33" s="33"/>
      <c r="M33" s="33"/>
      <c r="N33" s="33"/>
      <c r="O33" s="33"/>
      <c r="P33" s="105"/>
      <c r="Q33" s="106"/>
      <c r="R33" s="107"/>
      <c r="S33" s="114"/>
      <c r="T33" s="115"/>
      <c r="U33" s="116"/>
      <c r="V33" s="35"/>
      <c r="W33" s="35"/>
      <c r="X33" s="35"/>
      <c r="Y33" s="35"/>
      <c r="Z33" s="34"/>
      <c r="AA33" s="34"/>
    </row>
    <row r="34" spans="2:38" ht="14.25" customHeight="1" thickBot="1">
      <c r="J34" s="18"/>
      <c r="K34" s="33"/>
      <c r="L34" s="33"/>
      <c r="M34" s="33"/>
      <c r="N34" s="33"/>
      <c r="O34" s="33"/>
      <c r="P34" s="108"/>
      <c r="Q34" s="109"/>
      <c r="R34" s="110"/>
      <c r="S34" s="117"/>
      <c r="T34" s="118"/>
      <c r="U34" s="119"/>
      <c r="V34" s="35"/>
      <c r="W34" s="35"/>
      <c r="X34" s="35"/>
      <c r="Y34" s="35"/>
      <c r="Z34" s="34"/>
      <c r="AA34" s="34"/>
    </row>
    <row r="35" spans="2:38" ht="14.25" customHeight="1" thickTop="1" thickBot="1"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38" ht="30" customHeight="1" thickTop="1" thickBo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I36" s="13">
        <f>SUM(C36:AG36)</f>
        <v>0</v>
      </c>
      <c r="AJ36" s="15" t="s">
        <v>5</v>
      </c>
    </row>
    <row r="37" spans="2:38" ht="30" customHeight="1" thickTop="1" thickBot="1">
      <c r="B37" s="2" t="s">
        <v>0</v>
      </c>
      <c r="C37" s="46">
        <v>27</v>
      </c>
      <c r="D37" s="46">
        <v>28</v>
      </c>
      <c r="E37" s="38">
        <v>29</v>
      </c>
      <c r="F37" s="21">
        <v>30</v>
      </c>
      <c r="G37" s="21">
        <v>31</v>
      </c>
      <c r="H37" s="21">
        <v>1</v>
      </c>
      <c r="I37" s="21">
        <v>2</v>
      </c>
      <c r="J37" s="21">
        <v>3</v>
      </c>
      <c r="K37" s="21">
        <v>4</v>
      </c>
      <c r="L37" s="38">
        <v>5</v>
      </c>
      <c r="M37" s="21">
        <v>6</v>
      </c>
      <c r="N37" s="21">
        <v>7</v>
      </c>
      <c r="O37" s="21">
        <v>8</v>
      </c>
      <c r="P37" s="21">
        <v>9</v>
      </c>
      <c r="Q37" s="21">
        <v>10</v>
      </c>
      <c r="R37" s="21">
        <v>11</v>
      </c>
      <c r="S37" s="38">
        <v>12</v>
      </c>
      <c r="T37" s="21">
        <v>13</v>
      </c>
      <c r="U37" s="21">
        <v>14</v>
      </c>
      <c r="V37" s="21">
        <v>15</v>
      </c>
      <c r="W37" s="21">
        <v>16</v>
      </c>
      <c r="X37" s="46">
        <v>17</v>
      </c>
      <c r="Y37" s="21">
        <v>18</v>
      </c>
      <c r="Z37" s="38">
        <v>19</v>
      </c>
      <c r="AA37" s="21">
        <v>20</v>
      </c>
      <c r="AB37" s="21">
        <v>21</v>
      </c>
      <c r="AC37" s="21">
        <v>22</v>
      </c>
      <c r="AD37" s="21">
        <v>23</v>
      </c>
      <c r="AE37" s="21">
        <v>24</v>
      </c>
      <c r="AF37" s="21">
        <v>25</v>
      </c>
      <c r="AG37" s="38">
        <v>26</v>
      </c>
      <c r="AL37" s="5"/>
    </row>
    <row r="38" spans="2:38" ht="30" customHeight="1" thickTop="1" thickBot="1">
      <c r="B38" s="3" t="s">
        <v>1</v>
      </c>
      <c r="C38" s="47">
        <v>1</v>
      </c>
      <c r="D38" s="47">
        <v>1</v>
      </c>
      <c r="E38" s="39">
        <v>1</v>
      </c>
      <c r="F38" s="23">
        <v>1</v>
      </c>
      <c r="G38" s="23">
        <v>0</v>
      </c>
      <c r="H38" s="23">
        <v>1</v>
      </c>
      <c r="I38" s="23">
        <v>1</v>
      </c>
      <c r="J38" s="23">
        <v>1</v>
      </c>
      <c r="K38" s="23">
        <v>1</v>
      </c>
      <c r="L38" s="39">
        <v>1</v>
      </c>
      <c r="M38" s="23">
        <v>1</v>
      </c>
      <c r="N38" s="23">
        <v>1</v>
      </c>
      <c r="O38" s="23">
        <v>1</v>
      </c>
      <c r="P38" s="23">
        <v>1</v>
      </c>
      <c r="Q38" s="23">
        <v>1</v>
      </c>
      <c r="R38" s="23">
        <v>1</v>
      </c>
      <c r="S38" s="39">
        <v>1</v>
      </c>
      <c r="T38" s="23">
        <v>1</v>
      </c>
      <c r="U38" s="23">
        <v>1</v>
      </c>
      <c r="V38" s="23">
        <v>1</v>
      </c>
      <c r="W38" s="23">
        <v>1</v>
      </c>
      <c r="X38" s="47">
        <v>1</v>
      </c>
      <c r="Y38" s="23">
        <v>1</v>
      </c>
      <c r="Z38" s="39">
        <v>1</v>
      </c>
      <c r="AA38" s="23">
        <v>1</v>
      </c>
      <c r="AB38" s="23">
        <v>1</v>
      </c>
      <c r="AC38" s="23">
        <v>1</v>
      </c>
      <c r="AD38" s="23">
        <v>1</v>
      </c>
      <c r="AE38" s="23">
        <v>1</v>
      </c>
      <c r="AF38" s="23">
        <v>1</v>
      </c>
      <c r="AG38" s="39">
        <v>1</v>
      </c>
      <c r="AI38" s="4">
        <f>SUM(C38:AG38)</f>
        <v>30</v>
      </c>
      <c r="AJ38" s="15" t="s">
        <v>3</v>
      </c>
    </row>
    <row r="39" spans="2:38" ht="30" customHeight="1" thickTop="1" thickBot="1">
      <c r="B39" s="7" t="s">
        <v>2</v>
      </c>
      <c r="C39" s="48">
        <v>0</v>
      </c>
      <c r="D39" s="48">
        <v>0</v>
      </c>
      <c r="E39" s="40">
        <v>0</v>
      </c>
      <c r="F39" s="25">
        <v>1</v>
      </c>
      <c r="G39" s="25">
        <v>1</v>
      </c>
      <c r="H39" s="25">
        <v>1</v>
      </c>
      <c r="I39" s="25">
        <v>1</v>
      </c>
      <c r="J39" s="25">
        <v>1</v>
      </c>
      <c r="K39" s="25">
        <v>1</v>
      </c>
      <c r="L39" s="40">
        <v>0</v>
      </c>
      <c r="M39" s="25">
        <v>1</v>
      </c>
      <c r="N39" s="25">
        <v>1</v>
      </c>
      <c r="O39" s="25">
        <v>1</v>
      </c>
      <c r="P39" s="25">
        <v>1</v>
      </c>
      <c r="Q39" s="25">
        <v>1</v>
      </c>
      <c r="R39" s="25">
        <v>1</v>
      </c>
      <c r="S39" s="40">
        <v>0</v>
      </c>
      <c r="T39" s="25">
        <v>1</v>
      </c>
      <c r="U39" s="25">
        <v>1</v>
      </c>
      <c r="V39" s="25">
        <v>1</v>
      </c>
      <c r="W39" s="25">
        <v>1</v>
      </c>
      <c r="X39" s="48">
        <v>0</v>
      </c>
      <c r="Y39" s="25">
        <v>1</v>
      </c>
      <c r="Z39" s="40">
        <v>0</v>
      </c>
      <c r="AA39" s="25">
        <v>1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40">
        <v>0</v>
      </c>
      <c r="AI39" s="6">
        <f>SUM(C39:AG39)</f>
        <v>23</v>
      </c>
      <c r="AJ39" s="17" t="s">
        <v>6</v>
      </c>
    </row>
    <row r="40" spans="2:38" ht="30" customHeight="1" thickTop="1" thickBot="1">
      <c r="B40" s="8"/>
      <c r="C40" s="49"/>
      <c r="D40" s="49"/>
      <c r="E40" s="41"/>
      <c r="F40" s="27"/>
      <c r="G40" s="27"/>
      <c r="H40" s="27"/>
      <c r="I40" s="27"/>
      <c r="J40" s="27"/>
      <c r="K40" s="27"/>
      <c r="L40" s="41"/>
      <c r="M40" s="27"/>
      <c r="N40" s="27"/>
      <c r="O40" s="27"/>
      <c r="P40" s="27"/>
      <c r="Q40" s="27"/>
      <c r="R40" s="27"/>
      <c r="S40" s="41"/>
      <c r="T40" s="27"/>
      <c r="U40" s="27"/>
      <c r="V40" s="27"/>
      <c r="W40" s="27"/>
      <c r="X40" s="49"/>
      <c r="Y40" s="27"/>
      <c r="Z40" s="41"/>
      <c r="AA40" s="27"/>
      <c r="AB40" s="27"/>
      <c r="AC40" s="27"/>
      <c r="AD40" s="27"/>
      <c r="AE40" s="27"/>
      <c r="AF40" s="27"/>
      <c r="AG40" s="41"/>
      <c r="AI40" s="9">
        <f>SUM(C40:AG40)</f>
        <v>0</v>
      </c>
      <c r="AJ40" s="16" t="s">
        <v>7</v>
      </c>
    </row>
    <row r="41" spans="2:38" ht="14.25" customHeight="1" thickTop="1"/>
  </sheetData>
  <mergeCells count="21">
    <mergeCell ref="J14:L16"/>
    <mergeCell ref="J17:L19"/>
    <mergeCell ref="Y14:AA16"/>
    <mergeCell ref="Y17:AA19"/>
    <mergeCell ref="J2:AA5"/>
    <mergeCell ref="M8:O10"/>
    <mergeCell ref="P8:U10"/>
    <mergeCell ref="V8:X10"/>
    <mergeCell ref="M11:O13"/>
    <mergeCell ref="P11:U13"/>
    <mergeCell ref="V11:X13"/>
    <mergeCell ref="P15:R17"/>
    <mergeCell ref="S15:U17"/>
    <mergeCell ref="P18:R20"/>
    <mergeCell ref="S18:U20"/>
    <mergeCell ref="P22:U24"/>
    <mergeCell ref="P25:U27"/>
    <mergeCell ref="P29:R31"/>
    <mergeCell ref="S29:U31"/>
    <mergeCell ref="P32:R34"/>
    <mergeCell ref="S32:U34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1"/>
  <sheetViews>
    <sheetView showGridLines="0" zoomScale="50" zoomScaleNormal="50" workbookViewId="0">
      <selection activeCell="C36" sqref="C36"/>
    </sheetView>
  </sheetViews>
  <sheetFormatPr defaultColWidth="9" defaultRowHeight="14.25" customHeight="1"/>
  <cols>
    <col min="1" max="1" width="5.6640625" style="1" customWidth="1"/>
    <col min="2" max="2" width="32.77734375" style="1" customWidth="1"/>
    <col min="3" max="33" width="9" style="1"/>
    <col min="34" max="34" width="5.21875" style="1" customWidth="1"/>
    <col min="35" max="35" width="12.44140625" style="1" customWidth="1"/>
    <col min="36" max="36" width="11.44140625" style="1" customWidth="1"/>
    <col min="37" max="37" width="4.44140625" style="1" customWidth="1"/>
    <col min="38" max="38" width="5.21875" style="1" customWidth="1"/>
    <col min="39" max="16384" width="9" style="1"/>
  </cols>
  <sheetData>
    <row r="1" spans="10:27" ht="14.25" customHeight="1" thickBot="1"/>
    <row r="2" spans="10:27" ht="14.25" customHeight="1" thickTop="1">
      <c r="J2" s="138" t="s">
        <v>20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</row>
    <row r="3" spans="10:27" ht="14.25" customHeight="1"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</row>
    <row r="4" spans="10:27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10:27" ht="14.25" customHeight="1" thickBot="1"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</row>
    <row r="6" spans="10:27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10:27" ht="14.25" customHeight="1" thickBo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10:27" ht="14.25" customHeight="1" thickTop="1">
      <c r="J8" s="32"/>
      <c r="K8" s="35"/>
      <c r="L8" s="35"/>
      <c r="M8" s="93" t="s">
        <v>4</v>
      </c>
      <c r="N8" s="94"/>
      <c r="O8" s="95"/>
      <c r="P8" s="93" t="s">
        <v>14</v>
      </c>
      <c r="Q8" s="94"/>
      <c r="R8" s="94"/>
      <c r="S8" s="94"/>
      <c r="T8" s="94"/>
      <c r="U8" s="95"/>
      <c r="V8" s="93" t="s">
        <v>11</v>
      </c>
      <c r="W8" s="94"/>
      <c r="X8" s="95"/>
      <c r="Y8" s="35"/>
      <c r="Z8" s="34"/>
      <c r="AA8" s="34"/>
    </row>
    <row r="9" spans="10:27" ht="14.25" customHeight="1">
      <c r="J9" s="32"/>
      <c r="K9" s="35"/>
      <c r="L9" s="35"/>
      <c r="M9" s="96"/>
      <c r="N9" s="97"/>
      <c r="O9" s="98"/>
      <c r="P9" s="96"/>
      <c r="Q9" s="97"/>
      <c r="R9" s="97"/>
      <c r="S9" s="97"/>
      <c r="T9" s="97"/>
      <c r="U9" s="98"/>
      <c r="V9" s="96"/>
      <c r="W9" s="97"/>
      <c r="X9" s="98"/>
      <c r="Y9" s="35"/>
      <c r="Z9" s="34"/>
      <c r="AA9" s="34"/>
    </row>
    <row r="10" spans="10:27" ht="14.25" customHeight="1" thickBot="1">
      <c r="J10" s="32"/>
      <c r="K10" s="35"/>
      <c r="L10" s="35"/>
      <c r="M10" s="99"/>
      <c r="N10" s="100"/>
      <c r="O10" s="101"/>
      <c r="P10" s="99"/>
      <c r="Q10" s="100"/>
      <c r="R10" s="100"/>
      <c r="S10" s="100"/>
      <c r="T10" s="100"/>
      <c r="U10" s="101"/>
      <c r="V10" s="99"/>
      <c r="W10" s="100"/>
      <c r="X10" s="101"/>
      <c r="Y10" s="35"/>
      <c r="Z10" s="34"/>
      <c r="AA10" s="34"/>
    </row>
    <row r="11" spans="10:27" ht="14.25" customHeight="1" thickTop="1">
      <c r="J11" s="32"/>
      <c r="K11" s="35"/>
      <c r="L11" s="35"/>
      <c r="M11" s="147">
        <f>SUM(AI38:AI39)</f>
        <v>52</v>
      </c>
      <c r="N11" s="148"/>
      <c r="O11" s="149"/>
      <c r="P11" s="165">
        <f>SUM('1'!S12:U14)</f>
        <v>2576.61</v>
      </c>
      <c r="Q11" s="166"/>
      <c r="R11" s="166"/>
      <c r="S11" s="166"/>
      <c r="T11" s="166"/>
      <c r="U11" s="167"/>
      <c r="V11" s="201">
        <f>SUM(P11/30)</f>
        <v>85.887</v>
      </c>
      <c r="W11" s="202"/>
      <c r="X11" s="203"/>
      <c r="Y11" s="35"/>
      <c r="Z11" s="34"/>
      <c r="AA11" s="34"/>
    </row>
    <row r="12" spans="10:27" ht="14.25" customHeight="1">
      <c r="J12" s="32"/>
      <c r="K12" s="35"/>
      <c r="L12" s="35"/>
      <c r="M12" s="150"/>
      <c r="N12" s="151"/>
      <c r="O12" s="152"/>
      <c r="P12" s="168"/>
      <c r="Q12" s="169"/>
      <c r="R12" s="169"/>
      <c r="S12" s="169"/>
      <c r="T12" s="169"/>
      <c r="U12" s="170"/>
      <c r="V12" s="204"/>
      <c r="W12" s="205"/>
      <c r="X12" s="206"/>
      <c r="Y12" s="35"/>
      <c r="Z12" s="34"/>
      <c r="AA12" s="34"/>
    </row>
    <row r="13" spans="10:27" ht="14.25" customHeight="1" thickBot="1">
      <c r="J13" s="32"/>
      <c r="K13" s="35"/>
      <c r="L13" s="35"/>
      <c r="M13" s="153"/>
      <c r="N13" s="154"/>
      <c r="O13" s="155"/>
      <c r="P13" s="171"/>
      <c r="Q13" s="172"/>
      <c r="R13" s="172"/>
      <c r="S13" s="172"/>
      <c r="T13" s="172"/>
      <c r="U13" s="173"/>
      <c r="V13" s="207"/>
      <c r="W13" s="208"/>
      <c r="X13" s="209"/>
      <c r="Y13" s="35"/>
      <c r="Z13" s="34"/>
      <c r="AA13" s="34"/>
    </row>
    <row r="14" spans="10:27" ht="14.25" customHeight="1" thickTop="1" thickBot="1">
      <c r="J14" s="174" t="s">
        <v>27</v>
      </c>
      <c r="K14" s="175"/>
      <c r="L14" s="176"/>
      <c r="M14" s="33"/>
      <c r="N14" s="33"/>
      <c r="O14" s="33"/>
      <c r="P14" s="33"/>
      <c r="Q14" s="33"/>
      <c r="R14" s="33"/>
      <c r="S14" s="33"/>
      <c r="T14" s="35"/>
      <c r="U14" s="35"/>
      <c r="V14" s="35"/>
      <c r="W14" s="35"/>
      <c r="X14" s="35"/>
      <c r="Y14" s="93" t="s">
        <v>28</v>
      </c>
      <c r="Z14" s="94"/>
      <c r="AA14" s="95"/>
    </row>
    <row r="15" spans="10:27" ht="14.25" customHeight="1" thickTop="1">
      <c r="J15" s="177"/>
      <c r="K15" s="178"/>
      <c r="L15" s="179"/>
      <c r="M15" s="33"/>
      <c r="N15" s="33"/>
      <c r="O15" s="33"/>
      <c r="P15" s="93" t="s">
        <v>12</v>
      </c>
      <c r="Q15" s="94"/>
      <c r="R15" s="95"/>
      <c r="S15" s="93" t="s">
        <v>13</v>
      </c>
      <c r="T15" s="94"/>
      <c r="U15" s="95"/>
      <c r="V15" s="35"/>
      <c r="W15" s="35"/>
      <c r="X15" s="35"/>
      <c r="Y15" s="96"/>
      <c r="Z15" s="97"/>
      <c r="AA15" s="98"/>
    </row>
    <row r="16" spans="10:27" ht="14.25" customHeight="1" thickBot="1">
      <c r="J16" s="180"/>
      <c r="K16" s="181"/>
      <c r="L16" s="182"/>
      <c r="M16" s="33"/>
      <c r="N16" s="33"/>
      <c r="O16" s="33"/>
      <c r="P16" s="96"/>
      <c r="Q16" s="97"/>
      <c r="R16" s="98"/>
      <c r="S16" s="96"/>
      <c r="T16" s="97"/>
      <c r="U16" s="98"/>
      <c r="V16" s="35"/>
      <c r="W16" s="35"/>
      <c r="X16" s="35"/>
      <c r="Y16" s="99"/>
      <c r="Z16" s="100"/>
      <c r="AA16" s="101"/>
    </row>
    <row r="17" spans="10:27" ht="14.25" customHeight="1" thickTop="1" thickBot="1">
      <c r="J17" s="183">
        <f>SUM('1'!AI37+'2'!AI36+'3'!AI36+'4'!AI36+'5'!AI36+'6'!AI36+'7'!AI36+'8'!AI36+'9'!AI36+'10'!AI36+'11'!AI36+'12'!AI36)</f>
        <v>0</v>
      </c>
      <c r="K17" s="184"/>
      <c r="L17" s="185"/>
      <c r="M17" s="33"/>
      <c r="N17" s="33"/>
      <c r="O17" s="33"/>
      <c r="P17" s="99"/>
      <c r="Q17" s="100"/>
      <c r="R17" s="101"/>
      <c r="S17" s="99"/>
      <c r="T17" s="100"/>
      <c r="U17" s="101"/>
      <c r="V17" s="35"/>
      <c r="W17" s="35"/>
      <c r="X17" s="35"/>
      <c r="Y17" s="192">
        <f>SUM(30-J17)</f>
        <v>30</v>
      </c>
      <c r="Z17" s="193"/>
      <c r="AA17" s="194"/>
    </row>
    <row r="18" spans="10:27" ht="14.25" customHeight="1" thickTop="1">
      <c r="J18" s="186"/>
      <c r="K18" s="187"/>
      <c r="L18" s="188"/>
      <c r="M18" s="33"/>
      <c r="N18" s="33"/>
      <c r="O18" s="33"/>
      <c r="P18" s="102">
        <f>(M11*V11)+AI40</f>
        <v>4466.1239999999998</v>
      </c>
      <c r="Q18" s="103"/>
      <c r="R18" s="104"/>
      <c r="S18" s="111">
        <f>SUM(P18+P11)</f>
        <v>7042.7340000000004</v>
      </c>
      <c r="T18" s="112"/>
      <c r="U18" s="113"/>
      <c r="V18" s="35"/>
      <c r="W18" s="35"/>
      <c r="X18" s="35"/>
      <c r="Y18" s="195"/>
      <c r="Z18" s="196"/>
      <c r="AA18" s="197"/>
    </row>
    <row r="19" spans="10:27" ht="14.25" customHeight="1" thickBot="1">
      <c r="J19" s="189"/>
      <c r="K19" s="190"/>
      <c r="L19" s="191"/>
      <c r="M19" s="33"/>
      <c r="N19" s="33"/>
      <c r="O19" s="33"/>
      <c r="P19" s="105"/>
      <c r="Q19" s="106"/>
      <c r="R19" s="107"/>
      <c r="S19" s="114"/>
      <c r="T19" s="115"/>
      <c r="U19" s="116"/>
      <c r="V19" s="35"/>
      <c r="W19" s="35"/>
      <c r="X19" s="35"/>
      <c r="Y19" s="198"/>
      <c r="Z19" s="199"/>
      <c r="AA19" s="200"/>
    </row>
    <row r="20" spans="10:27" ht="14.25" customHeight="1" thickTop="1" thickBot="1">
      <c r="J20" s="18"/>
      <c r="K20" s="33"/>
      <c r="L20" s="33"/>
      <c r="M20" s="33"/>
      <c r="N20" s="33"/>
      <c r="O20" s="33"/>
      <c r="P20" s="108"/>
      <c r="Q20" s="109"/>
      <c r="R20" s="110"/>
      <c r="S20" s="117"/>
      <c r="T20" s="118"/>
      <c r="U20" s="119"/>
      <c r="V20" s="35"/>
      <c r="W20" s="35"/>
      <c r="X20" s="35"/>
      <c r="Y20" s="35"/>
      <c r="Z20" s="34"/>
      <c r="AA20" s="34"/>
    </row>
    <row r="21" spans="10:27" ht="14.25" customHeight="1" thickTop="1" thickBot="1"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5"/>
      <c r="U21" s="35"/>
      <c r="V21" s="35"/>
      <c r="W21" s="35"/>
      <c r="X21" s="35"/>
      <c r="Y21" s="35"/>
      <c r="Z21" s="34"/>
      <c r="AA21" s="34"/>
    </row>
    <row r="22" spans="10:27" ht="14.25" customHeight="1" thickTop="1">
      <c r="J22" s="18"/>
      <c r="K22" s="33"/>
      <c r="L22" s="33"/>
      <c r="M22" s="33"/>
      <c r="N22" s="33"/>
      <c r="O22" s="33"/>
      <c r="P22" s="93" t="s">
        <v>8</v>
      </c>
      <c r="Q22" s="94"/>
      <c r="R22" s="94"/>
      <c r="S22" s="94"/>
      <c r="T22" s="94"/>
      <c r="U22" s="95"/>
      <c r="V22" s="35"/>
      <c r="W22" s="35"/>
      <c r="X22" s="35"/>
      <c r="Y22" s="35"/>
      <c r="Z22" s="34"/>
      <c r="AA22" s="34"/>
    </row>
    <row r="23" spans="10:27" ht="14.25" customHeight="1">
      <c r="J23" s="18"/>
      <c r="K23" s="33"/>
      <c r="L23" s="33"/>
      <c r="M23" s="33"/>
      <c r="N23" s="33"/>
      <c r="O23" s="33"/>
      <c r="P23" s="96"/>
      <c r="Q23" s="97"/>
      <c r="R23" s="97"/>
      <c r="S23" s="97"/>
      <c r="T23" s="97"/>
      <c r="U23" s="98"/>
      <c r="V23" s="35"/>
      <c r="W23" s="35"/>
      <c r="X23" s="35"/>
      <c r="Y23" s="35"/>
      <c r="Z23" s="34"/>
      <c r="AA23" s="34"/>
    </row>
    <row r="24" spans="10:27" ht="14.25" customHeight="1" thickBot="1">
      <c r="J24" s="18"/>
      <c r="K24" s="33"/>
      <c r="L24" s="33"/>
      <c r="M24" s="33"/>
      <c r="N24" s="33"/>
      <c r="O24" s="33"/>
      <c r="P24" s="99"/>
      <c r="Q24" s="100"/>
      <c r="R24" s="100"/>
      <c r="S24" s="100"/>
      <c r="T24" s="100"/>
      <c r="U24" s="101"/>
      <c r="V24" s="35"/>
      <c r="W24" s="35"/>
      <c r="X24" s="35"/>
      <c r="Y24" s="35"/>
      <c r="Z24" s="34"/>
      <c r="AA24" s="34"/>
    </row>
    <row r="25" spans="10:27" ht="14.25" customHeight="1" thickTop="1">
      <c r="J25" s="18"/>
      <c r="K25" s="33"/>
      <c r="L25" s="33"/>
      <c r="M25" s="33"/>
      <c r="N25" s="33"/>
      <c r="O25" s="33"/>
      <c r="P25" s="120">
        <v>1000</v>
      </c>
      <c r="Q25" s="121"/>
      <c r="R25" s="121"/>
      <c r="S25" s="121"/>
      <c r="T25" s="121"/>
      <c r="U25" s="122"/>
      <c r="V25" s="35"/>
      <c r="W25" s="35"/>
      <c r="X25" s="35"/>
      <c r="Y25" s="35"/>
      <c r="Z25" s="34"/>
      <c r="AA25" s="34"/>
    </row>
    <row r="26" spans="10:27" ht="14.25" customHeight="1">
      <c r="J26" s="18"/>
      <c r="K26" s="33"/>
      <c r="L26" s="33"/>
      <c r="M26" s="33"/>
      <c r="N26" s="33"/>
      <c r="O26" s="33"/>
      <c r="P26" s="123"/>
      <c r="Q26" s="124"/>
      <c r="R26" s="124"/>
      <c r="S26" s="124"/>
      <c r="T26" s="124"/>
      <c r="U26" s="125"/>
      <c r="V26" s="35"/>
      <c r="W26" s="35"/>
      <c r="X26" s="35"/>
      <c r="Y26" s="35"/>
      <c r="Z26" s="34"/>
      <c r="AA26" s="34"/>
    </row>
    <row r="27" spans="10:27" ht="14.25" customHeight="1" thickBot="1">
      <c r="J27" s="18"/>
      <c r="K27" s="33"/>
      <c r="L27" s="33"/>
      <c r="M27" s="33"/>
      <c r="N27" s="33"/>
      <c r="O27" s="33"/>
      <c r="P27" s="126"/>
      <c r="Q27" s="127"/>
      <c r="R27" s="127"/>
      <c r="S27" s="127"/>
      <c r="T27" s="127"/>
      <c r="U27" s="128"/>
      <c r="V27" s="35"/>
      <c r="W27" s="35"/>
      <c r="X27" s="35"/>
      <c r="Y27" s="35"/>
      <c r="Z27" s="34"/>
      <c r="AA27" s="34"/>
    </row>
    <row r="28" spans="10:27" ht="14.25" customHeight="1" thickTop="1" thickBot="1"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5"/>
      <c r="U28" s="35"/>
      <c r="V28" s="35"/>
      <c r="W28" s="35"/>
      <c r="X28" s="35"/>
      <c r="Y28" s="35"/>
      <c r="Z28" s="34"/>
      <c r="AA28" s="34"/>
    </row>
    <row r="29" spans="10:27" ht="14.25" customHeight="1" thickTop="1">
      <c r="J29" s="18"/>
      <c r="K29" s="33"/>
      <c r="L29" s="33"/>
      <c r="M29" s="33"/>
      <c r="N29" s="33"/>
      <c r="O29" s="33"/>
      <c r="P29" s="93" t="s">
        <v>12</v>
      </c>
      <c r="Q29" s="94"/>
      <c r="R29" s="95"/>
      <c r="S29" s="93" t="s">
        <v>13</v>
      </c>
      <c r="T29" s="94"/>
      <c r="U29" s="95"/>
      <c r="V29" s="35"/>
      <c r="W29" s="35"/>
      <c r="X29" s="35"/>
      <c r="Y29" s="35"/>
      <c r="Z29" s="34"/>
      <c r="AA29" s="34"/>
    </row>
    <row r="30" spans="10:27" ht="14.25" customHeight="1">
      <c r="J30" s="18"/>
      <c r="K30" s="33"/>
      <c r="L30" s="33"/>
      <c r="M30" s="33"/>
      <c r="N30" s="33"/>
      <c r="O30" s="33"/>
      <c r="P30" s="96"/>
      <c r="Q30" s="97"/>
      <c r="R30" s="98"/>
      <c r="S30" s="96"/>
      <c r="T30" s="97"/>
      <c r="U30" s="98"/>
      <c r="V30" s="35"/>
      <c r="W30" s="35"/>
      <c r="X30" s="35"/>
      <c r="Y30" s="35"/>
      <c r="Z30" s="34"/>
      <c r="AA30" s="34"/>
    </row>
    <row r="31" spans="10:27" ht="14.25" customHeight="1" thickBot="1">
      <c r="J31" s="18"/>
      <c r="K31" s="33"/>
      <c r="L31" s="33"/>
      <c r="M31" s="33"/>
      <c r="N31" s="33"/>
      <c r="O31" s="33"/>
      <c r="P31" s="99"/>
      <c r="Q31" s="100"/>
      <c r="R31" s="101"/>
      <c r="S31" s="99"/>
      <c r="T31" s="100"/>
      <c r="U31" s="101"/>
      <c r="V31" s="35"/>
      <c r="W31" s="35"/>
      <c r="X31" s="35"/>
      <c r="Y31" s="35"/>
      <c r="Z31" s="34"/>
      <c r="AA31" s="34"/>
    </row>
    <row r="32" spans="10:27" ht="14.25" customHeight="1" thickTop="1">
      <c r="J32" s="18"/>
      <c r="K32" s="33"/>
      <c r="L32" s="33"/>
      <c r="M32" s="33"/>
      <c r="N32" s="33"/>
      <c r="O32" s="33"/>
      <c r="P32" s="102">
        <f>SUM(P18-P25)</f>
        <v>3466.1239999999998</v>
      </c>
      <c r="Q32" s="103"/>
      <c r="R32" s="104"/>
      <c r="S32" s="111">
        <f>SUM(S18-P25)</f>
        <v>6042.7340000000004</v>
      </c>
      <c r="T32" s="112"/>
      <c r="U32" s="113"/>
      <c r="V32" s="35"/>
      <c r="W32" s="35"/>
      <c r="X32" s="35"/>
      <c r="Y32" s="35"/>
      <c r="Z32" s="34"/>
      <c r="AA32" s="34"/>
    </row>
    <row r="33" spans="2:38" ht="14.25" customHeight="1">
      <c r="J33" s="18"/>
      <c r="K33" s="33"/>
      <c r="L33" s="33"/>
      <c r="M33" s="33"/>
      <c r="N33" s="33"/>
      <c r="O33" s="33"/>
      <c r="P33" s="105"/>
      <c r="Q33" s="106"/>
      <c r="R33" s="107"/>
      <c r="S33" s="114"/>
      <c r="T33" s="115"/>
      <c r="U33" s="116"/>
      <c r="V33" s="35"/>
      <c r="W33" s="35"/>
      <c r="X33" s="35"/>
      <c r="Y33" s="35"/>
      <c r="Z33" s="34"/>
      <c r="AA33" s="34"/>
    </row>
    <row r="34" spans="2:38" ht="14.25" customHeight="1" thickBot="1">
      <c r="J34" s="18"/>
      <c r="K34" s="33"/>
      <c r="L34" s="33"/>
      <c r="M34" s="33"/>
      <c r="N34" s="33"/>
      <c r="O34" s="33"/>
      <c r="P34" s="108"/>
      <c r="Q34" s="109"/>
      <c r="R34" s="110"/>
      <c r="S34" s="117"/>
      <c r="T34" s="118"/>
      <c r="U34" s="119"/>
      <c r="V34" s="35"/>
      <c r="W34" s="35"/>
      <c r="X34" s="35"/>
      <c r="Y34" s="35"/>
      <c r="Z34" s="34"/>
      <c r="AA34" s="34"/>
    </row>
    <row r="35" spans="2:38" ht="14.25" customHeight="1" thickTop="1" thickBot="1"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38" ht="30" customHeight="1" thickTop="1" thickBo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I36" s="13">
        <f>SUM(C36:AG36)</f>
        <v>0</v>
      </c>
      <c r="AJ36" s="15" t="s">
        <v>5</v>
      </c>
    </row>
    <row r="37" spans="2:38" ht="30" customHeight="1" thickTop="1" thickBot="1">
      <c r="B37" s="2" t="s">
        <v>0</v>
      </c>
      <c r="C37" s="20">
        <v>27</v>
      </c>
      <c r="D37" s="21">
        <v>28</v>
      </c>
      <c r="E37" s="21">
        <v>29</v>
      </c>
      <c r="F37" s="21">
        <v>30</v>
      </c>
      <c r="G37" s="10">
        <v>31</v>
      </c>
      <c r="H37" s="21">
        <v>1</v>
      </c>
      <c r="I37" s="46">
        <v>2</v>
      </c>
      <c r="J37" s="38">
        <v>3</v>
      </c>
      <c r="K37" s="21">
        <v>4</v>
      </c>
      <c r="L37" s="21">
        <v>5</v>
      </c>
      <c r="M37" s="21">
        <v>6</v>
      </c>
      <c r="N37" s="21">
        <v>7</v>
      </c>
      <c r="O37" s="21">
        <v>8</v>
      </c>
      <c r="P37" s="21">
        <v>9</v>
      </c>
      <c r="Q37" s="38">
        <v>10</v>
      </c>
      <c r="R37" s="21">
        <v>11</v>
      </c>
      <c r="S37" s="21">
        <v>12</v>
      </c>
      <c r="T37" s="21">
        <v>13</v>
      </c>
      <c r="U37" s="21">
        <v>14</v>
      </c>
      <c r="V37" s="21">
        <v>15</v>
      </c>
      <c r="W37" s="21">
        <v>16</v>
      </c>
      <c r="X37" s="38">
        <v>17</v>
      </c>
      <c r="Y37" s="21">
        <v>18</v>
      </c>
      <c r="Z37" s="21">
        <v>19</v>
      </c>
      <c r="AA37" s="21">
        <v>20</v>
      </c>
      <c r="AB37" s="21">
        <v>21</v>
      </c>
      <c r="AC37" s="21">
        <v>22</v>
      </c>
      <c r="AD37" s="46">
        <v>23</v>
      </c>
      <c r="AE37" s="38">
        <v>24</v>
      </c>
      <c r="AF37" s="21">
        <v>25</v>
      </c>
      <c r="AG37" s="29">
        <v>26</v>
      </c>
      <c r="AL37" s="5"/>
    </row>
    <row r="38" spans="2:38" ht="30" customHeight="1" thickTop="1" thickBot="1">
      <c r="B38" s="3" t="s">
        <v>1</v>
      </c>
      <c r="C38" s="22">
        <v>1</v>
      </c>
      <c r="D38" s="23">
        <v>1</v>
      </c>
      <c r="E38" s="23">
        <v>1</v>
      </c>
      <c r="F38" s="23">
        <v>1</v>
      </c>
      <c r="G38" s="11">
        <v>0</v>
      </c>
      <c r="H38" s="23">
        <v>1</v>
      </c>
      <c r="I38" s="47">
        <v>1</v>
      </c>
      <c r="J38" s="39">
        <v>1</v>
      </c>
      <c r="K38" s="23">
        <v>1</v>
      </c>
      <c r="L38" s="23">
        <v>1</v>
      </c>
      <c r="M38" s="23">
        <v>1</v>
      </c>
      <c r="N38" s="23">
        <v>1</v>
      </c>
      <c r="O38" s="23">
        <v>1</v>
      </c>
      <c r="P38" s="23">
        <v>1</v>
      </c>
      <c r="Q38" s="39">
        <v>1</v>
      </c>
      <c r="R38" s="23">
        <v>1</v>
      </c>
      <c r="S38" s="23">
        <v>1</v>
      </c>
      <c r="T38" s="23">
        <v>1</v>
      </c>
      <c r="U38" s="23">
        <v>1</v>
      </c>
      <c r="V38" s="23">
        <v>1</v>
      </c>
      <c r="W38" s="23">
        <v>1</v>
      </c>
      <c r="X38" s="39">
        <v>1</v>
      </c>
      <c r="Y38" s="23">
        <v>1</v>
      </c>
      <c r="Z38" s="23">
        <v>1</v>
      </c>
      <c r="AA38" s="23">
        <v>1</v>
      </c>
      <c r="AB38" s="23">
        <v>1</v>
      </c>
      <c r="AC38" s="23">
        <v>1</v>
      </c>
      <c r="AD38" s="47">
        <v>1</v>
      </c>
      <c r="AE38" s="39">
        <v>1</v>
      </c>
      <c r="AF38" s="23">
        <v>1</v>
      </c>
      <c r="AG38" s="30">
        <v>1</v>
      </c>
      <c r="AI38" s="4">
        <f>SUM(C38:AG38)</f>
        <v>30</v>
      </c>
      <c r="AJ38" s="15" t="s">
        <v>3</v>
      </c>
    </row>
    <row r="39" spans="2:38" ht="30" customHeight="1" thickTop="1" thickBot="1">
      <c r="B39" s="7" t="s">
        <v>2</v>
      </c>
      <c r="C39" s="24">
        <v>1</v>
      </c>
      <c r="D39" s="25">
        <v>1</v>
      </c>
      <c r="E39" s="25">
        <v>1</v>
      </c>
      <c r="F39" s="25">
        <v>1</v>
      </c>
      <c r="G39" s="12">
        <v>0</v>
      </c>
      <c r="H39" s="25">
        <v>1</v>
      </c>
      <c r="I39" s="48">
        <v>0</v>
      </c>
      <c r="J39" s="40">
        <v>0</v>
      </c>
      <c r="K39" s="25">
        <v>1</v>
      </c>
      <c r="L39" s="25">
        <v>1</v>
      </c>
      <c r="M39" s="25">
        <v>1</v>
      </c>
      <c r="N39" s="25">
        <v>1</v>
      </c>
      <c r="O39" s="25">
        <v>1</v>
      </c>
      <c r="P39" s="25">
        <v>0</v>
      </c>
      <c r="Q39" s="40">
        <v>0</v>
      </c>
      <c r="R39" s="25">
        <v>1</v>
      </c>
      <c r="S39" s="25">
        <v>1</v>
      </c>
      <c r="T39" s="25">
        <v>1</v>
      </c>
      <c r="U39" s="25">
        <v>1</v>
      </c>
      <c r="V39" s="25">
        <v>1</v>
      </c>
      <c r="W39" s="25">
        <v>0</v>
      </c>
      <c r="X39" s="40">
        <v>0</v>
      </c>
      <c r="Y39" s="25">
        <v>1</v>
      </c>
      <c r="Z39" s="25">
        <v>1</v>
      </c>
      <c r="AA39" s="25">
        <v>1</v>
      </c>
      <c r="AB39" s="25">
        <v>1</v>
      </c>
      <c r="AC39" s="25">
        <v>1</v>
      </c>
      <c r="AD39" s="48">
        <v>0</v>
      </c>
      <c r="AE39" s="40">
        <v>0</v>
      </c>
      <c r="AF39" s="25">
        <v>1</v>
      </c>
      <c r="AG39" s="31">
        <v>1</v>
      </c>
      <c r="AI39" s="6">
        <f>SUM(C39:AG39)</f>
        <v>22</v>
      </c>
      <c r="AJ39" s="17" t="s">
        <v>6</v>
      </c>
    </row>
    <row r="40" spans="2:38" ht="30" customHeight="1" thickTop="1" thickBot="1">
      <c r="B40" s="8"/>
      <c r="C40" s="26"/>
      <c r="D40" s="27"/>
      <c r="E40" s="27"/>
      <c r="F40" s="27"/>
      <c r="G40" s="19"/>
      <c r="H40" s="27"/>
      <c r="I40" s="49"/>
      <c r="J40" s="41"/>
      <c r="K40" s="27"/>
      <c r="L40" s="27"/>
      <c r="M40" s="27"/>
      <c r="N40" s="27"/>
      <c r="O40" s="27"/>
      <c r="P40" s="27"/>
      <c r="Q40" s="41"/>
      <c r="R40" s="27"/>
      <c r="S40" s="27"/>
      <c r="T40" s="27"/>
      <c r="U40" s="27"/>
      <c r="V40" s="27"/>
      <c r="W40" s="27"/>
      <c r="X40" s="41"/>
      <c r="Y40" s="27"/>
      <c r="Z40" s="27"/>
      <c r="AA40" s="27"/>
      <c r="AB40" s="27"/>
      <c r="AC40" s="27"/>
      <c r="AD40" s="49"/>
      <c r="AE40" s="41"/>
      <c r="AF40" s="27"/>
      <c r="AG40" s="28"/>
      <c r="AI40" s="9">
        <f>SUM(C40:AG40)</f>
        <v>0</v>
      </c>
      <c r="AJ40" s="16" t="s">
        <v>7</v>
      </c>
    </row>
    <row r="41" spans="2:38" ht="14.25" customHeight="1" thickTop="1"/>
  </sheetData>
  <mergeCells count="21">
    <mergeCell ref="J14:L16"/>
    <mergeCell ref="J17:L19"/>
    <mergeCell ref="Y14:AA16"/>
    <mergeCell ref="Y17:AA19"/>
    <mergeCell ref="J2:AA5"/>
    <mergeCell ref="M8:O10"/>
    <mergeCell ref="P8:U10"/>
    <mergeCell ref="V8:X10"/>
    <mergeCell ref="M11:O13"/>
    <mergeCell ref="P11:U13"/>
    <mergeCell ref="V11:X13"/>
    <mergeCell ref="P15:R17"/>
    <mergeCell ref="S15:U17"/>
    <mergeCell ref="P18:R20"/>
    <mergeCell ref="S18:U20"/>
    <mergeCell ref="P22:U24"/>
    <mergeCell ref="P25:U27"/>
    <mergeCell ref="P29:R31"/>
    <mergeCell ref="S29:U31"/>
    <mergeCell ref="P32:R34"/>
    <mergeCell ref="S32:U34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1"/>
  <sheetViews>
    <sheetView showGridLines="0" zoomScale="50" zoomScaleNormal="50" workbookViewId="0">
      <selection activeCell="C36" sqref="C36"/>
    </sheetView>
  </sheetViews>
  <sheetFormatPr defaultColWidth="9" defaultRowHeight="14.25" customHeight="1"/>
  <cols>
    <col min="1" max="1" width="5.6640625" style="1" customWidth="1"/>
    <col min="2" max="2" width="32.77734375" style="1" customWidth="1"/>
    <col min="3" max="33" width="9" style="1"/>
    <col min="34" max="34" width="5.21875" style="1" customWidth="1"/>
    <col min="35" max="35" width="12.44140625" style="1" customWidth="1"/>
    <col min="36" max="36" width="11.44140625" style="1" customWidth="1"/>
    <col min="37" max="37" width="4.44140625" style="1" customWidth="1"/>
    <col min="38" max="38" width="5.21875" style="1" customWidth="1"/>
    <col min="39" max="16384" width="9" style="1"/>
  </cols>
  <sheetData>
    <row r="1" spans="10:27" ht="14.25" customHeight="1" thickBot="1"/>
    <row r="2" spans="10:27" ht="14.25" customHeight="1" thickTop="1">
      <c r="J2" s="138" t="s">
        <v>19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</row>
    <row r="3" spans="10:27" ht="14.25" customHeight="1"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</row>
    <row r="4" spans="10:27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10:27" ht="14.25" customHeight="1" thickBot="1"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</row>
    <row r="6" spans="10:27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10:27" ht="14.25" customHeight="1" thickBo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10:27" ht="14.25" customHeight="1" thickTop="1">
      <c r="J8" s="32"/>
      <c r="K8" s="35"/>
      <c r="L8" s="35"/>
      <c r="M8" s="93" t="s">
        <v>4</v>
      </c>
      <c r="N8" s="94"/>
      <c r="O8" s="95"/>
      <c r="P8" s="93" t="s">
        <v>14</v>
      </c>
      <c r="Q8" s="94"/>
      <c r="R8" s="94"/>
      <c r="S8" s="94"/>
      <c r="T8" s="94"/>
      <c r="U8" s="95"/>
      <c r="V8" s="93" t="s">
        <v>11</v>
      </c>
      <c r="W8" s="94"/>
      <c r="X8" s="95"/>
      <c r="Y8" s="35"/>
      <c r="Z8" s="34"/>
      <c r="AA8" s="34"/>
    </row>
    <row r="9" spans="10:27" ht="14.25" customHeight="1">
      <c r="J9" s="32"/>
      <c r="K9" s="35"/>
      <c r="L9" s="35"/>
      <c r="M9" s="96"/>
      <c r="N9" s="97"/>
      <c r="O9" s="98"/>
      <c r="P9" s="96"/>
      <c r="Q9" s="97"/>
      <c r="R9" s="97"/>
      <c r="S9" s="97"/>
      <c r="T9" s="97"/>
      <c r="U9" s="98"/>
      <c r="V9" s="96"/>
      <c r="W9" s="97"/>
      <c r="X9" s="98"/>
      <c r="Y9" s="35"/>
      <c r="Z9" s="34"/>
      <c r="AA9" s="34"/>
    </row>
    <row r="10" spans="10:27" ht="14.25" customHeight="1" thickBot="1">
      <c r="J10" s="32"/>
      <c r="K10" s="35"/>
      <c r="L10" s="35"/>
      <c r="M10" s="99"/>
      <c r="N10" s="100"/>
      <c r="O10" s="101"/>
      <c r="P10" s="99"/>
      <c r="Q10" s="100"/>
      <c r="R10" s="100"/>
      <c r="S10" s="100"/>
      <c r="T10" s="100"/>
      <c r="U10" s="101"/>
      <c r="V10" s="99"/>
      <c r="W10" s="100"/>
      <c r="X10" s="101"/>
      <c r="Y10" s="35"/>
      <c r="Z10" s="34"/>
      <c r="AA10" s="34"/>
    </row>
    <row r="11" spans="10:27" ht="14.25" customHeight="1" thickTop="1">
      <c r="J11" s="32"/>
      <c r="K11" s="35"/>
      <c r="L11" s="35"/>
      <c r="M11" s="147">
        <f>SUM(AI38:AI39)</f>
        <v>57</v>
      </c>
      <c r="N11" s="148"/>
      <c r="O11" s="149"/>
      <c r="P11" s="165">
        <f>SUM('1'!S12:U14)</f>
        <v>2576.61</v>
      </c>
      <c r="Q11" s="166"/>
      <c r="R11" s="166"/>
      <c r="S11" s="166"/>
      <c r="T11" s="166"/>
      <c r="U11" s="167"/>
      <c r="V11" s="201">
        <f>SUM(P11/30)</f>
        <v>85.887</v>
      </c>
      <c r="W11" s="202"/>
      <c r="X11" s="203"/>
      <c r="Y11" s="35"/>
      <c r="Z11" s="34"/>
      <c r="AA11" s="34"/>
    </row>
    <row r="12" spans="10:27" ht="14.25" customHeight="1">
      <c r="J12" s="32"/>
      <c r="K12" s="35"/>
      <c r="L12" s="35"/>
      <c r="M12" s="150"/>
      <c r="N12" s="151"/>
      <c r="O12" s="152"/>
      <c r="P12" s="168"/>
      <c r="Q12" s="169"/>
      <c r="R12" s="169"/>
      <c r="S12" s="169"/>
      <c r="T12" s="169"/>
      <c r="U12" s="170"/>
      <c r="V12" s="204"/>
      <c r="W12" s="205"/>
      <c r="X12" s="206"/>
      <c r="Y12" s="35"/>
      <c r="Z12" s="34"/>
      <c r="AA12" s="34"/>
    </row>
    <row r="13" spans="10:27" ht="14.25" customHeight="1" thickBot="1">
      <c r="J13" s="32"/>
      <c r="K13" s="35"/>
      <c r="L13" s="35"/>
      <c r="M13" s="153"/>
      <c r="N13" s="154"/>
      <c r="O13" s="155"/>
      <c r="P13" s="171"/>
      <c r="Q13" s="172"/>
      <c r="R13" s="172"/>
      <c r="S13" s="172"/>
      <c r="T13" s="172"/>
      <c r="U13" s="173"/>
      <c r="V13" s="207"/>
      <c r="W13" s="208"/>
      <c r="X13" s="209"/>
      <c r="Y13" s="35"/>
      <c r="Z13" s="34"/>
      <c r="AA13" s="34"/>
    </row>
    <row r="14" spans="10:27" ht="14.25" customHeight="1" thickTop="1" thickBot="1">
      <c r="J14" s="174" t="s">
        <v>27</v>
      </c>
      <c r="K14" s="175"/>
      <c r="L14" s="176"/>
      <c r="M14" s="33"/>
      <c r="N14" s="33"/>
      <c r="O14" s="33"/>
      <c r="P14" s="33"/>
      <c r="Q14" s="33"/>
      <c r="R14" s="33"/>
      <c r="S14" s="33"/>
      <c r="T14" s="35"/>
      <c r="U14" s="35"/>
      <c r="V14" s="35"/>
      <c r="W14" s="35"/>
      <c r="X14" s="35"/>
      <c r="Y14" s="93" t="s">
        <v>28</v>
      </c>
      <c r="Z14" s="94"/>
      <c r="AA14" s="95"/>
    </row>
    <row r="15" spans="10:27" ht="14.25" customHeight="1" thickTop="1">
      <c r="J15" s="177"/>
      <c r="K15" s="178"/>
      <c r="L15" s="179"/>
      <c r="M15" s="33"/>
      <c r="N15" s="33"/>
      <c r="O15" s="33"/>
      <c r="P15" s="93" t="s">
        <v>12</v>
      </c>
      <c r="Q15" s="94"/>
      <c r="R15" s="95"/>
      <c r="S15" s="93" t="s">
        <v>13</v>
      </c>
      <c r="T15" s="94"/>
      <c r="U15" s="95"/>
      <c r="V15" s="35"/>
      <c r="W15" s="35"/>
      <c r="X15" s="35"/>
      <c r="Y15" s="96"/>
      <c r="Z15" s="97"/>
      <c r="AA15" s="98"/>
    </row>
    <row r="16" spans="10:27" ht="14.25" customHeight="1" thickBot="1">
      <c r="J16" s="180"/>
      <c r="K16" s="181"/>
      <c r="L16" s="182"/>
      <c r="M16" s="33"/>
      <c r="N16" s="33"/>
      <c r="O16" s="33"/>
      <c r="P16" s="96"/>
      <c r="Q16" s="97"/>
      <c r="R16" s="98"/>
      <c r="S16" s="96"/>
      <c r="T16" s="97"/>
      <c r="U16" s="98"/>
      <c r="V16" s="35"/>
      <c r="W16" s="35"/>
      <c r="X16" s="35"/>
      <c r="Y16" s="99"/>
      <c r="Z16" s="100"/>
      <c r="AA16" s="101"/>
    </row>
    <row r="17" spans="10:27" ht="14.25" customHeight="1" thickTop="1" thickBot="1">
      <c r="J17" s="183">
        <f>SUM('1'!AI37+'2'!AI36+'3'!AI36+'4'!AI36+'5'!AI36+'6'!AI36+'7'!AI36+'8'!AI36+'9'!AI36+'10'!AI36+'11'!AI36+'12'!AI36)</f>
        <v>0</v>
      </c>
      <c r="K17" s="184"/>
      <c r="L17" s="185"/>
      <c r="M17" s="33"/>
      <c r="N17" s="33"/>
      <c r="O17" s="33"/>
      <c r="P17" s="99"/>
      <c r="Q17" s="100"/>
      <c r="R17" s="101"/>
      <c r="S17" s="99"/>
      <c r="T17" s="100"/>
      <c r="U17" s="101"/>
      <c r="V17" s="35"/>
      <c r="W17" s="35"/>
      <c r="X17" s="35"/>
      <c r="Y17" s="192">
        <f>SUM(30-J17)</f>
        <v>30</v>
      </c>
      <c r="Z17" s="193"/>
      <c r="AA17" s="194"/>
    </row>
    <row r="18" spans="10:27" ht="14.25" customHeight="1" thickTop="1">
      <c r="J18" s="186"/>
      <c r="K18" s="187"/>
      <c r="L18" s="188"/>
      <c r="M18" s="33"/>
      <c r="N18" s="33"/>
      <c r="O18" s="33"/>
      <c r="P18" s="102">
        <f>(M11*V11)+AI40</f>
        <v>4895.5590000000002</v>
      </c>
      <c r="Q18" s="103"/>
      <c r="R18" s="104"/>
      <c r="S18" s="111">
        <f>SUM(P18+P11)</f>
        <v>7472.1689999999999</v>
      </c>
      <c r="T18" s="112"/>
      <c r="U18" s="113"/>
      <c r="V18" s="35"/>
      <c r="W18" s="35"/>
      <c r="X18" s="35"/>
      <c r="Y18" s="195"/>
      <c r="Z18" s="196"/>
      <c r="AA18" s="197"/>
    </row>
    <row r="19" spans="10:27" ht="14.25" customHeight="1" thickBot="1">
      <c r="J19" s="189"/>
      <c r="K19" s="190"/>
      <c r="L19" s="191"/>
      <c r="M19" s="33"/>
      <c r="N19" s="33"/>
      <c r="O19" s="33"/>
      <c r="P19" s="105"/>
      <c r="Q19" s="106"/>
      <c r="R19" s="107"/>
      <c r="S19" s="114"/>
      <c r="T19" s="115"/>
      <c r="U19" s="116"/>
      <c r="V19" s="35"/>
      <c r="W19" s="35"/>
      <c r="X19" s="35"/>
      <c r="Y19" s="198"/>
      <c r="Z19" s="199"/>
      <c r="AA19" s="200"/>
    </row>
    <row r="20" spans="10:27" ht="14.25" customHeight="1" thickTop="1" thickBot="1">
      <c r="J20" s="18"/>
      <c r="K20" s="33"/>
      <c r="L20" s="33"/>
      <c r="M20" s="33"/>
      <c r="N20" s="33"/>
      <c r="O20" s="33"/>
      <c r="P20" s="108"/>
      <c r="Q20" s="109"/>
      <c r="R20" s="110"/>
      <c r="S20" s="117"/>
      <c r="T20" s="118"/>
      <c r="U20" s="119"/>
      <c r="V20" s="35"/>
      <c r="W20" s="35"/>
      <c r="X20" s="35"/>
      <c r="Y20" s="35"/>
      <c r="Z20" s="34"/>
      <c r="AA20" s="34"/>
    </row>
    <row r="21" spans="10:27" ht="14.25" customHeight="1" thickTop="1" thickBot="1"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5"/>
      <c r="U21" s="35"/>
      <c r="V21" s="35"/>
      <c r="W21" s="35"/>
      <c r="X21" s="35"/>
      <c r="Y21" s="35"/>
      <c r="Z21" s="34"/>
      <c r="AA21" s="34"/>
    </row>
    <row r="22" spans="10:27" ht="14.25" customHeight="1" thickTop="1">
      <c r="J22" s="18"/>
      <c r="K22" s="33"/>
      <c r="L22" s="33"/>
      <c r="M22" s="33"/>
      <c r="N22" s="33"/>
      <c r="O22" s="33"/>
      <c r="P22" s="93" t="s">
        <v>8</v>
      </c>
      <c r="Q22" s="94"/>
      <c r="R22" s="94"/>
      <c r="S22" s="94"/>
      <c r="T22" s="94"/>
      <c r="U22" s="95"/>
      <c r="V22" s="35"/>
      <c r="W22" s="35"/>
      <c r="X22" s="35"/>
      <c r="Y22" s="35"/>
      <c r="Z22" s="34"/>
      <c r="AA22" s="34"/>
    </row>
    <row r="23" spans="10:27" ht="14.25" customHeight="1">
      <c r="J23" s="18"/>
      <c r="K23" s="33"/>
      <c r="L23" s="33"/>
      <c r="M23" s="33"/>
      <c r="N23" s="33"/>
      <c r="O23" s="33"/>
      <c r="P23" s="96"/>
      <c r="Q23" s="97"/>
      <c r="R23" s="97"/>
      <c r="S23" s="97"/>
      <c r="T23" s="97"/>
      <c r="U23" s="98"/>
      <c r="V23" s="35"/>
      <c r="W23" s="35"/>
      <c r="X23" s="35"/>
      <c r="Y23" s="35"/>
      <c r="Z23" s="34"/>
      <c r="AA23" s="34"/>
    </row>
    <row r="24" spans="10:27" ht="14.25" customHeight="1" thickBot="1">
      <c r="J24" s="18"/>
      <c r="K24" s="33"/>
      <c r="L24" s="33"/>
      <c r="M24" s="33"/>
      <c r="N24" s="33"/>
      <c r="O24" s="33"/>
      <c r="P24" s="99"/>
      <c r="Q24" s="100"/>
      <c r="R24" s="100"/>
      <c r="S24" s="100"/>
      <c r="T24" s="100"/>
      <c r="U24" s="101"/>
      <c r="V24" s="35"/>
      <c r="W24" s="35"/>
      <c r="X24" s="35"/>
      <c r="Y24" s="35"/>
      <c r="Z24" s="34"/>
      <c r="AA24" s="34"/>
    </row>
    <row r="25" spans="10:27" ht="14.25" customHeight="1" thickTop="1">
      <c r="J25" s="18"/>
      <c r="K25" s="33"/>
      <c r="L25" s="33"/>
      <c r="M25" s="33"/>
      <c r="N25" s="33"/>
      <c r="O25" s="33"/>
      <c r="P25" s="120">
        <v>1000</v>
      </c>
      <c r="Q25" s="121"/>
      <c r="R25" s="121"/>
      <c r="S25" s="121"/>
      <c r="T25" s="121"/>
      <c r="U25" s="122"/>
      <c r="V25" s="35"/>
      <c r="W25" s="35"/>
      <c r="X25" s="35"/>
      <c r="Y25" s="35"/>
      <c r="Z25" s="34"/>
      <c r="AA25" s="34"/>
    </row>
    <row r="26" spans="10:27" ht="14.25" customHeight="1">
      <c r="J26" s="18"/>
      <c r="K26" s="33"/>
      <c r="L26" s="33"/>
      <c r="M26" s="33"/>
      <c r="N26" s="33"/>
      <c r="O26" s="33"/>
      <c r="P26" s="123"/>
      <c r="Q26" s="124"/>
      <c r="R26" s="124"/>
      <c r="S26" s="124"/>
      <c r="T26" s="124"/>
      <c r="U26" s="125"/>
      <c r="V26" s="35"/>
      <c r="W26" s="35"/>
      <c r="X26" s="35"/>
      <c r="Y26" s="35"/>
      <c r="Z26" s="34"/>
      <c r="AA26" s="34"/>
    </row>
    <row r="27" spans="10:27" ht="14.25" customHeight="1" thickBot="1">
      <c r="J27" s="18"/>
      <c r="K27" s="33"/>
      <c r="L27" s="33"/>
      <c r="M27" s="33"/>
      <c r="N27" s="33"/>
      <c r="O27" s="33"/>
      <c r="P27" s="126"/>
      <c r="Q27" s="127"/>
      <c r="R27" s="127"/>
      <c r="S27" s="127"/>
      <c r="T27" s="127"/>
      <c r="U27" s="128"/>
      <c r="V27" s="35"/>
      <c r="W27" s="35"/>
      <c r="X27" s="35"/>
      <c r="Y27" s="35"/>
      <c r="Z27" s="34"/>
      <c r="AA27" s="34"/>
    </row>
    <row r="28" spans="10:27" ht="14.25" customHeight="1" thickTop="1" thickBot="1"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5"/>
      <c r="U28" s="35"/>
      <c r="V28" s="35"/>
      <c r="W28" s="35"/>
      <c r="X28" s="35"/>
      <c r="Y28" s="35"/>
      <c r="Z28" s="34"/>
      <c r="AA28" s="34"/>
    </row>
    <row r="29" spans="10:27" ht="14.25" customHeight="1" thickTop="1">
      <c r="J29" s="18"/>
      <c r="K29" s="33"/>
      <c r="L29" s="33"/>
      <c r="M29" s="33"/>
      <c r="N29" s="33"/>
      <c r="O29" s="33"/>
      <c r="P29" s="93" t="s">
        <v>12</v>
      </c>
      <c r="Q29" s="94"/>
      <c r="R29" s="95"/>
      <c r="S29" s="93" t="s">
        <v>13</v>
      </c>
      <c r="T29" s="94"/>
      <c r="U29" s="95"/>
      <c r="V29" s="35"/>
      <c r="W29" s="35"/>
      <c r="X29" s="35"/>
      <c r="Y29" s="35"/>
      <c r="Z29" s="34"/>
      <c r="AA29" s="34"/>
    </row>
    <row r="30" spans="10:27" ht="14.25" customHeight="1">
      <c r="J30" s="18"/>
      <c r="K30" s="33"/>
      <c r="L30" s="33"/>
      <c r="M30" s="33"/>
      <c r="N30" s="33"/>
      <c r="O30" s="33"/>
      <c r="P30" s="96"/>
      <c r="Q30" s="97"/>
      <c r="R30" s="98"/>
      <c r="S30" s="96"/>
      <c r="T30" s="97"/>
      <c r="U30" s="98"/>
      <c r="V30" s="35"/>
      <c r="W30" s="35"/>
      <c r="X30" s="35"/>
      <c r="Y30" s="35"/>
      <c r="Z30" s="34"/>
      <c r="AA30" s="34"/>
    </row>
    <row r="31" spans="10:27" ht="14.25" customHeight="1" thickBot="1">
      <c r="J31" s="18"/>
      <c r="K31" s="33"/>
      <c r="L31" s="33"/>
      <c r="M31" s="33"/>
      <c r="N31" s="33"/>
      <c r="O31" s="33"/>
      <c r="P31" s="99"/>
      <c r="Q31" s="100"/>
      <c r="R31" s="101"/>
      <c r="S31" s="99"/>
      <c r="T31" s="100"/>
      <c r="U31" s="101"/>
      <c r="V31" s="35"/>
      <c r="W31" s="35"/>
      <c r="X31" s="35"/>
      <c r="Y31" s="35"/>
      <c r="Z31" s="34"/>
      <c r="AA31" s="34"/>
    </row>
    <row r="32" spans="10:27" ht="14.25" customHeight="1" thickTop="1">
      <c r="J32" s="18"/>
      <c r="K32" s="33"/>
      <c r="L32" s="33"/>
      <c r="M32" s="33"/>
      <c r="N32" s="33"/>
      <c r="O32" s="33"/>
      <c r="P32" s="102">
        <f>SUM(P18-P25)</f>
        <v>3895.5590000000002</v>
      </c>
      <c r="Q32" s="103"/>
      <c r="R32" s="104"/>
      <c r="S32" s="111">
        <f>SUM(S18-P25)</f>
        <v>6472.1689999999999</v>
      </c>
      <c r="T32" s="112"/>
      <c r="U32" s="113"/>
      <c r="V32" s="35"/>
      <c r="W32" s="35"/>
      <c r="X32" s="35"/>
      <c r="Y32" s="35"/>
      <c r="Z32" s="34"/>
      <c r="AA32" s="34"/>
    </row>
    <row r="33" spans="2:38" ht="14.25" customHeight="1">
      <c r="J33" s="18"/>
      <c r="K33" s="33"/>
      <c r="L33" s="33"/>
      <c r="M33" s="33"/>
      <c r="N33" s="33"/>
      <c r="O33" s="33"/>
      <c r="P33" s="105"/>
      <c r="Q33" s="106"/>
      <c r="R33" s="107"/>
      <c r="S33" s="114"/>
      <c r="T33" s="115"/>
      <c r="U33" s="116"/>
      <c r="V33" s="35"/>
      <c r="W33" s="35"/>
      <c r="X33" s="35"/>
      <c r="Y33" s="35"/>
      <c r="Z33" s="34"/>
      <c r="AA33" s="34"/>
    </row>
    <row r="34" spans="2:38" ht="14.25" customHeight="1" thickBot="1">
      <c r="J34" s="18"/>
      <c r="K34" s="33"/>
      <c r="L34" s="33"/>
      <c r="M34" s="33"/>
      <c r="N34" s="33"/>
      <c r="O34" s="33"/>
      <c r="P34" s="108"/>
      <c r="Q34" s="109"/>
      <c r="R34" s="110"/>
      <c r="S34" s="117"/>
      <c r="T34" s="118"/>
      <c r="U34" s="119"/>
      <c r="V34" s="35"/>
      <c r="W34" s="35"/>
      <c r="X34" s="35"/>
      <c r="Y34" s="35"/>
      <c r="Z34" s="34"/>
      <c r="AA34" s="34"/>
    </row>
    <row r="35" spans="2:38" ht="15.75" customHeight="1" thickTop="1" thickBot="1"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38" ht="30" customHeight="1" thickTop="1" thickBo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I36" s="13">
        <f>SUM(C36:AG36)</f>
        <v>0</v>
      </c>
      <c r="AJ36" s="15" t="s">
        <v>5</v>
      </c>
    </row>
    <row r="37" spans="2:38" ht="30" customHeight="1" thickTop="1" thickBot="1">
      <c r="B37" s="2" t="s">
        <v>0</v>
      </c>
      <c r="C37" s="20">
        <v>27</v>
      </c>
      <c r="D37" s="21">
        <v>28</v>
      </c>
      <c r="E37" s="21">
        <v>29</v>
      </c>
      <c r="F37" s="21">
        <v>30</v>
      </c>
      <c r="G37" s="38">
        <v>31</v>
      </c>
      <c r="H37" s="21">
        <v>1</v>
      </c>
      <c r="I37" s="21">
        <v>2</v>
      </c>
      <c r="J37" s="21">
        <v>3</v>
      </c>
      <c r="K37" s="21">
        <v>4</v>
      </c>
      <c r="L37" s="21">
        <v>5</v>
      </c>
      <c r="M37" s="21">
        <v>6</v>
      </c>
      <c r="N37" s="38">
        <v>7</v>
      </c>
      <c r="O37" s="21">
        <v>8</v>
      </c>
      <c r="P37" s="21">
        <v>9</v>
      </c>
      <c r="Q37" s="21">
        <v>10</v>
      </c>
      <c r="R37" s="21">
        <v>11</v>
      </c>
      <c r="S37" s="21">
        <v>12</v>
      </c>
      <c r="T37" s="21">
        <v>13</v>
      </c>
      <c r="U37" s="38">
        <v>14</v>
      </c>
      <c r="V37" s="21">
        <v>15</v>
      </c>
      <c r="W37" s="21">
        <v>16</v>
      </c>
      <c r="X37" s="21">
        <v>17</v>
      </c>
      <c r="Y37" s="21">
        <v>18</v>
      </c>
      <c r="Z37" s="21">
        <v>19</v>
      </c>
      <c r="AA37" s="21">
        <v>20</v>
      </c>
      <c r="AB37" s="38">
        <v>21</v>
      </c>
      <c r="AC37" s="21">
        <v>22</v>
      </c>
      <c r="AD37" s="21">
        <v>23</v>
      </c>
      <c r="AE37" s="21">
        <v>24</v>
      </c>
      <c r="AF37" s="21">
        <v>25</v>
      </c>
      <c r="AG37" s="29">
        <v>26</v>
      </c>
      <c r="AL37" s="5"/>
    </row>
    <row r="38" spans="2:38" ht="30" customHeight="1" thickTop="1" thickBot="1">
      <c r="B38" s="3" t="s">
        <v>1</v>
      </c>
      <c r="C38" s="22">
        <v>1</v>
      </c>
      <c r="D38" s="23">
        <v>1</v>
      </c>
      <c r="E38" s="23">
        <v>1</v>
      </c>
      <c r="F38" s="23">
        <v>1</v>
      </c>
      <c r="G38" s="39">
        <v>0</v>
      </c>
      <c r="H38" s="23">
        <v>1</v>
      </c>
      <c r="I38" s="23">
        <v>1</v>
      </c>
      <c r="J38" s="23">
        <v>1</v>
      </c>
      <c r="K38" s="23">
        <v>1</v>
      </c>
      <c r="L38" s="23">
        <v>1</v>
      </c>
      <c r="M38" s="23">
        <v>1</v>
      </c>
      <c r="N38" s="39">
        <v>1</v>
      </c>
      <c r="O38" s="23">
        <v>1</v>
      </c>
      <c r="P38" s="23">
        <v>1</v>
      </c>
      <c r="Q38" s="23">
        <v>1</v>
      </c>
      <c r="R38" s="23">
        <v>1</v>
      </c>
      <c r="S38" s="23">
        <v>1</v>
      </c>
      <c r="T38" s="23">
        <v>1</v>
      </c>
      <c r="U38" s="39">
        <v>1</v>
      </c>
      <c r="V38" s="23">
        <v>1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B38" s="39">
        <v>1</v>
      </c>
      <c r="AC38" s="23">
        <v>1</v>
      </c>
      <c r="AD38" s="23">
        <v>1</v>
      </c>
      <c r="AE38" s="23">
        <v>1</v>
      </c>
      <c r="AF38" s="23">
        <v>1</v>
      </c>
      <c r="AG38" s="30">
        <v>1</v>
      </c>
      <c r="AI38" s="4">
        <f>SUM(C38:AG38)</f>
        <v>30</v>
      </c>
      <c r="AJ38" s="15" t="s">
        <v>3</v>
      </c>
    </row>
    <row r="39" spans="2:38" ht="30" customHeight="1" thickTop="1" thickBot="1">
      <c r="B39" s="7" t="s">
        <v>2</v>
      </c>
      <c r="C39" s="24">
        <v>1</v>
      </c>
      <c r="D39" s="25">
        <v>1</v>
      </c>
      <c r="E39" s="25">
        <v>1</v>
      </c>
      <c r="F39" s="25">
        <v>1</v>
      </c>
      <c r="G39" s="40">
        <v>0</v>
      </c>
      <c r="H39" s="25">
        <v>1</v>
      </c>
      <c r="I39" s="25">
        <v>1</v>
      </c>
      <c r="J39" s="25">
        <v>1</v>
      </c>
      <c r="K39" s="25">
        <v>1</v>
      </c>
      <c r="L39" s="25">
        <v>1</v>
      </c>
      <c r="M39" s="25">
        <v>1</v>
      </c>
      <c r="N39" s="40">
        <v>0</v>
      </c>
      <c r="O39" s="25">
        <v>1</v>
      </c>
      <c r="P39" s="25">
        <v>1</v>
      </c>
      <c r="Q39" s="25">
        <v>1</v>
      </c>
      <c r="R39" s="25">
        <v>1</v>
      </c>
      <c r="S39" s="25">
        <v>1</v>
      </c>
      <c r="T39" s="25">
        <v>1</v>
      </c>
      <c r="U39" s="40">
        <v>0</v>
      </c>
      <c r="V39" s="25">
        <v>1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B39" s="40">
        <v>0</v>
      </c>
      <c r="AC39" s="25">
        <v>1</v>
      </c>
      <c r="AD39" s="25">
        <v>1</v>
      </c>
      <c r="AE39" s="25">
        <v>1</v>
      </c>
      <c r="AF39" s="25">
        <v>1</v>
      </c>
      <c r="AG39" s="31">
        <v>1</v>
      </c>
      <c r="AI39" s="6">
        <f>SUM(C39:AG39)</f>
        <v>27</v>
      </c>
      <c r="AJ39" s="17" t="s">
        <v>6</v>
      </c>
    </row>
    <row r="40" spans="2:38" ht="30" customHeight="1" thickTop="1" thickBot="1">
      <c r="B40" s="8"/>
      <c r="C40" s="26"/>
      <c r="D40" s="27"/>
      <c r="E40" s="27"/>
      <c r="F40" s="27"/>
      <c r="G40" s="41"/>
      <c r="H40" s="27"/>
      <c r="I40" s="27"/>
      <c r="J40" s="27"/>
      <c r="K40" s="27"/>
      <c r="L40" s="27"/>
      <c r="M40" s="27"/>
      <c r="N40" s="41"/>
      <c r="O40" s="27"/>
      <c r="P40" s="27"/>
      <c r="Q40" s="27"/>
      <c r="R40" s="27"/>
      <c r="S40" s="27"/>
      <c r="T40" s="27"/>
      <c r="U40" s="41"/>
      <c r="V40" s="27"/>
      <c r="W40" s="27"/>
      <c r="X40" s="27"/>
      <c r="Y40" s="27"/>
      <c r="Z40" s="27"/>
      <c r="AA40" s="27"/>
      <c r="AB40" s="41"/>
      <c r="AC40" s="27"/>
      <c r="AD40" s="27"/>
      <c r="AE40" s="27"/>
      <c r="AF40" s="27"/>
      <c r="AG40" s="28"/>
      <c r="AI40" s="9">
        <f>SUM(C40:AG40)</f>
        <v>0</v>
      </c>
      <c r="AJ40" s="16" t="s">
        <v>7</v>
      </c>
    </row>
    <row r="41" spans="2:38" ht="14.25" customHeight="1" thickTop="1"/>
  </sheetData>
  <mergeCells count="21">
    <mergeCell ref="J14:L16"/>
    <mergeCell ref="J17:L19"/>
    <mergeCell ref="Y14:AA16"/>
    <mergeCell ref="Y17:AA19"/>
    <mergeCell ref="J2:AA5"/>
    <mergeCell ref="M8:O10"/>
    <mergeCell ref="P8:U10"/>
    <mergeCell ref="V8:X10"/>
    <mergeCell ref="M11:O13"/>
    <mergeCell ref="P11:U13"/>
    <mergeCell ref="V11:X13"/>
    <mergeCell ref="P15:R17"/>
    <mergeCell ref="S15:U17"/>
    <mergeCell ref="P18:R20"/>
    <mergeCell ref="S18:U20"/>
    <mergeCell ref="P22:U24"/>
    <mergeCell ref="P25:U27"/>
    <mergeCell ref="P29:R31"/>
    <mergeCell ref="S29:U31"/>
    <mergeCell ref="P32:R34"/>
    <mergeCell ref="S32:U34"/>
  </mergeCells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1"/>
  <sheetViews>
    <sheetView showGridLines="0" zoomScale="50" zoomScaleNormal="50" workbookViewId="0">
      <selection activeCell="E36" sqref="E36"/>
    </sheetView>
  </sheetViews>
  <sheetFormatPr defaultColWidth="9" defaultRowHeight="14.25" customHeight="1"/>
  <cols>
    <col min="1" max="1" width="5.6640625" style="1" customWidth="1"/>
    <col min="2" max="2" width="32.77734375" style="1" customWidth="1"/>
    <col min="3" max="33" width="9" style="1"/>
    <col min="34" max="34" width="5.21875" style="1" customWidth="1"/>
    <col min="35" max="35" width="12.44140625" style="1" customWidth="1"/>
    <col min="36" max="36" width="11.44140625" style="1" customWidth="1"/>
    <col min="37" max="37" width="4.44140625" style="1" customWidth="1"/>
    <col min="38" max="38" width="5.21875" style="1" customWidth="1"/>
    <col min="39" max="16384" width="9" style="1"/>
  </cols>
  <sheetData>
    <row r="1" spans="10:27" ht="14.25" customHeight="1" thickBot="1"/>
    <row r="2" spans="10:27" ht="14.25" customHeight="1" thickTop="1">
      <c r="J2" s="138" t="s">
        <v>18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</row>
    <row r="3" spans="10:27" ht="14.25" customHeight="1"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</row>
    <row r="4" spans="10:27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10:27" ht="14.25" customHeight="1" thickBot="1"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</row>
    <row r="6" spans="10:27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10:27" ht="14.25" customHeight="1" thickBo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10:27" ht="14.25" customHeight="1" thickTop="1">
      <c r="J8" s="32"/>
      <c r="K8" s="35"/>
      <c r="L8" s="35"/>
      <c r="M8" s="93" t="s">
        <v>4</v>
      </c>
      <c r="N8" s="94"/>
      <c r="O8" s="95"/>
      <c r="P8" s="93" t="s">
        <v>14</v>
      </c>
      <c r="Q8" s="94"/>
      <c r="R8" s="94"/>
      <c r="S8" s="94"/>
      <c r="T8" s="94"/>
      <c r="U8" s="95"/>
      <c r="V8" s="93" t="s">
        <v>11</v>
      </c>
      <c r="W8" s="94"/>
      <c r="X8" s="95"/>
      <c r="Y8" s="35"/>
      <c r="Z8" s="34"/>
      <c r="AA8" s="34"/>
    </row>
    <row r="9" spans="10:27" ht="14.25" customHeight="1">
      <c r="J9" s="32"/>
      <c r="K9" s="35"/>
      <c r="L9" s="35"/>
      <c r="M9" s="96"/>
      <c r="N9" s="97"/>
      <c r="O9" s="98"/>
      <c r="P9" s="96"/>
      <c r="Q9" s="97"/>
      <c r="R9" s="97"/>
      <c r="S9" s="97"/>
      <c r="T9" s="97"/>
      <c r="U9" s="98"/>
      <c r="V9" s="96"/>
      <c r="W9" s="97"/>
      <c r="X9" s="98"/>
      <c r="Y9" s="35"/>
      <c r="Z9" s="34"/>
      <c r="AA9" s="34"/>
    </row>
    <row r="10" spans="10:27" ht="14.25" customHeight="1" thickBot="1">
      <c r="J10" s="32"/>
      <c r="K10" s="35"/>
      <c r="L10" s="35"/>
      <c r="M10" s="99"/>
      <c r="N10" s="100"/>
      <c r="O10" s="101"/>
      <c r="P10" s="99"/>
      <c r="Q10" s="100"/>
      <c r="R10" s="100"/>
      <c r="S10" s="100"/>
      <c r="T10" s="100"/>
      <c r="U10" s="101"/>
      <c r="V10" s="99"/>
      <c r="W10" s="100"/>
      <c r="X10" s="101"/>
      <c r="Y10" s="35"/>
      <c r="Z10" s="34"/>
      <c r="AA10" s="34"/>
    </row>
    <row r="11" spans="10:27" ht="14.25" customHeight="1" thickTop="1">
      <c r="J11" s="32"/>
      <c r="K11" s="35"/>
      <c r="L11" s="35"/>
      <c r="M11" s="147">
        <f>SUM(AI38:AI39)</f>
        <v>55</v>
      </c>
      <c r="N11" s="148"/>
      <c r="O11" s="149"/>
      <c r="P11" s="165">
        <f>SUM('1'!S12:U14)</f>
        <v>2576.61</v>
      </c>
      <c r="Q11" s="166"/>
      <c r="R11" s="166"/>
      <c r="S11" s="166"/>
      <c r="T11" s="166"/>
      <c r="U11" s="167"/>
      <c r="V11" s="201">
        <f>SUM(P11/30)</f>
        <v>85.887</v>
      </c>
      <c r="W11" s="202"/>
      <c r="X11" s="203"/>
      <c r="Y11" s="35"/>
      <c r="Z11" s="34"/>
      <c r="AA11" s="34"/>
    </row>
    <row r="12" spans="10:27" ht="14.25" customHeight="1">
      <c r="J12" s="32"/>
      <c r="K12" s="35"/>
      <c r="L12" s="35"/>
      <c r="M12" s="150"/>
      <c r="N12" s="151"/>
      <c r="O12" s="152"/>
      <c r="P12" s="168"/>
      <c r="Q12" s="169"/>
      <c r="R12" s="169"/>
      <c r="S12" s="169"/>
      <c r="T12" s="169"/>
      <c r="U12" s="170"/>
      <c r="V12" s="204"/>
      <c r="W12" s="205"/>
      <c r="X12" s="206"/>
      <c r="Y12" s="35"/>
      <c r="Z12" s="34"/>
      <c r="AA12" s="34"/>
    </row>
    <row r="13" spans="10:27" ht="14.25" customHeight="1" thickBot="1">
      <c r="J13" s="32"/>
      <c r="K13" s="35"/>
      <c r="L13" s="35"/>
      <c r="M13" s="153"/>
      <c r="N13" s="154"/>
      <c r="O13" s="155"/>
      <c r="P13" s="171"/>
      <c r="Q13" s="172"/>
      <c r="R13" s="172"/>
      <c r="S13" s="172"/>
      <c r="T13" s="172"/>
      <c r="U13" s="173"/>
      <c r="V13" s="207"/>
      <c r="W13" s="208"/>
      <c r="X13" s="209"/>
      <c r="Y13" s="35"/>
      <c r="Z13" s="34"/>
      <c r="AA13" s="34"/>
    </row>
    <row r="14" spans="10:27" ht="14.25" customHeight="1" thickTop="1" thickBot="1">
      <c r="J14" s="174" t="s">
        <v>27</v>
      </c>
      <c r="K14" s="175"/>
      <c r="L14" s="176"/>
      <c r="M14" s="33"/>
      <c r="N14" s="33"/>
      <c r="O14" s="33"/>
      <c r="P14" s="33"/>
      <c r="Q14" s="33"/>
      <c r="R14" s="33"/>
      <c r="S14" s="33"/>
      <c r="T14" s="35"/>
      <c r="U14" s="35"/>
      <c r="V14" s="35"/>
      <c r="W14" s="35"/>
      <c r="X14" s="35"/>
      <c r="Y14" s="93" t="s">
        <v>28</v>
      </c>
      <c r="Z14" s="94"/>
      <c r="AA14" s="95"/>
    </row>
    <row r="15" spans="10:27" ht="14.25" customHeight="1" thickTop="1">
      <c r="J15" s="177"/>
      <c r="K15" s="178"/>
      <c r="L15" s="179"/>
      <c r="M15" s="33"/>
      <c r="N15" s="33"/>
      <c r="O15" s="33"/>
      <c r="P15" s="93" t="s">
        <v>12</v>
      </c>
      <c r="Q15" s="94"/>
      <c r="R15" s="95"/>
      <c r="S15" s="93" t="s">
        <v>13</v>
      </c>
      <c r="T15" s="94"/>
      <c r="U15" s="95"/>
      <c r="V15" s="35"/>
      <c r="W15" s="35"/>
      <c r="X15" s="35"/>
      <c r="Y15" s="96"/>
      <c r="Z15" s="97"/>
      <c r="AA15" s="98"/>
    </row>
    <row r="16" spans="10:27" ht="14.25" customHeight="1" thickBot="1">
      <c r="J16" s="180"/>
      <c r="K16" s="181"/>
      <c r="L16" s="182"/>
      <c r="M16" s="33"/>
      <c r="N16" s="33"/>
      <c r="O16" s="33"/>
      <c r="P16" s="96"/>
      <c r="Q16" s="97"/>
      <c r="R16" s="98"/>
      <c r="S16" s="96"/>
      <c r="T16" s="97"/>
      <c r="U16" s="98"/>
      <c r="V16" s="35"/>
      <c r="W16" s="35"/>
      <c r="X16" s="35"/>
      <c r="Y16" s="99"/>
      <c r="Z16" s="100"/>
      <c r="AA16" s="101"/>
    </row>
    <row r="17" spans="10:27" ht="14.25" customHeight="1" thickTop="1" thickBot="1">
      <c r="J17" s="183">
        <f>SUM('1'!AI37+'2'!AI36+'3'!AI36+'4'!AI36+'5'!AI36+'6'!AI36+'7'!AI36+'8'!AI36+'9'!AI36+'10'!AI36+'11'!AI36+'12'!AI36)</f>
        <v>0</v>
      </c>
      <c r="K17" s="184"/>
      <c r="L17" s="185"/>
      <c r="M17" s="33"/>
      <c r="N17" s="33"/>
      <c r="O17" s="33"/>
      <c r="P17" s="99"/>
      <c r="Q17" s="100"/>
      <c r="R17" s="101"/>
      <c r="S17" s="99"/>
      <c r="T17" s="100"/>
      <c r="U17" s="101"/>
      <c r="V17" s="35"/>
      <c r="W17" s="35"/>
      <c r="X17" s="35"/>
      <c r="Y17" s="192">
        <f>SUM(30-J17)</f>
        <v>30</v>
      </c>
      <c r="Z17" s="193"/>
      <c r="AA17" s="194"/>
    </row>
    <row r="18" spans="10:27" ht="14.25" customHeight="1" thickTop="1">
      <c r="J18" s="186"/>
      <c r="K18" s="187"/>
      <c r="L18" s="188"/>
      <c r="M18" s="33"/>
      <c r="N18" s="33"/>
      <c r="O18" s="33"/>
      <c r="P18" s="102">
        <f>(M11*V11)+AI40</f>
        <v>4723.7849999999999</v>
      </c>
      <c r="Q18" s="103"/>
      <c r="R18" s="104"/>
      <c r="S18" s="111">
        <f>SUM(P18+P11)</f>
        <v>7300.3950000000004</v>
      </c>
      <c r="T18" s="112"/>
      <c r="U18" s="113"/>
      <c r="V18" s="35"/>
      <c r="W18" s="35"/>
      <c r="X18" s="35"/>
      <c r="Y18" s="195"/>
      <c r="Z18" s="196"/>
      <c r="AA18" s="197"/>
    </row>
    <row r="19" spans="10:27" ht="14.25" customHeight="1" thickBot="1">
      <c r="J19" s="189"/>
      <c r="K19" s="190"/>
      <c r="L19" s="191"/>
      <c r="M19" s="33"/>
      <c r="N19" s="33"/>
      <c r="O19" s="33"/>
      <c r="P19" s="105"/>
      <c r="Q19" s="106"/>
      <c r="R19" s="107"/>
      <c r="S19" s="114"/>
      <c r="T19" s="115"/>
      <c r="U19" s="116"/>
      <c r="V19" s="35"/>
      <c r="W19" s="35"/>
      <c r="X19" s="35"/>
      <c r="Y19" s="198"/>
      <c r="Z19" s="199"/>
      <c r="AA19" s="200"/>
    </row>
    <row r="20" spans="10:27" ht="14.25" customHeight="1" thickTop="1" thickBot="1">
      <c r="J20" s="18"/>
      <c r="K20" s="33"/>
      <c r="L20" s="33"/>
      <c r="M20" s="33"/>
      <c r="N20" s="33"/>
      <c r="O20" s="33"/>
      <c r="P20" s="108"/>
      <c r="Q20" s="109"/>
      <c r="R20" s="110"/>
      <c r="S20" s="117"/>
      <c r="T20" s="118"/>
      <c r="U20" s="119"/>
      <c r="V20" s="35"/>
      <c r="W20" s="35"/>
      <c r="X20" s="35"/>
      <c r="Y20" s="35"/>
      <c r="Z20" s="34"/>
      <c r="AA20" s="34"/>
    </row>
    <row r="21" spans="10:27" ht="14.25" customHeight="1" thickTop="1" thickBot="1"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5"/>
      <c r="U21" s="35"/>
      <c r="V21" s="35"/>
      <c r="W21" s="35"/>
      <c r="X21" s="35"/>
      <c r="Y21" s="35"/>
      <c r="Z21" s="34"/>
      <c r="AA21" s="34"/>
    </row>
    <row r="22" spans="10:27" ht="14.25" customHeight="1" thickTop="1">
      <c r="J22" s="18"/>
      <c r="K22" s="33"/>
      <c r="L22" s="33"/>
      <c r="M22" s="33"/>
      <c r="N22" s="33"/>
      <c r="O22" s="33"/>
      <c r="P22" s="93" t="s">
        <v>8</v>
      </c>
      <c r="Q22" s="94"/>
      <c r="R22" s="94"/>
      <c r="S22" s="94"/>
      <c r="T22" s="94"/>
      <c r="U22" s="95"/>
      <c r="V22" s="35"/>
      <c r="W22" s="35"/>
      <c r="X22" s="35"/>
      <c r="Y22" s="35"/>
      <c r="Z22" s="34"/>
      <c r="AA22" s="34"/>
    </row>
    <row r="23" spans="10:27" ht="14.25" customHeight="1">
      <c r="J23" s="18"/>
      <c r="K23" s="33"/>
      <c r="L23" s="33"/>
      <c r="M23" s="33"/>
      <c r="N23" s="33"/>
      <c r="O23" s="33"/>
      <c r="P23" s="96"/>
      <c r="Q23" s="97"/>
      <c r="R23" s="97"/>
      <c r="S23" s="97"/>
      <c r="T23" s="97"/>
      <c r="U23" s="98"/>
      <c r="V23" s="35"/>
      <c r="W23" s="35"/>
      <c r="X23" s="35"/>
      <c r="Y23" s="35"/>
      <c r="Z23" s="34"/>
      <c r="AA23" s="34"/>
    </row>
    <row r="24" spans="10:27" ht="14.25" customHeight="1" thickBot="1">
      <c r="J24" s="18"/>
      <c r="K24" s="33"/>
      <c r="L24" s="33"/>
      <c r="M24" s="33"/>
      <c r="N24" s="33"/>
      <c r="O24" s="33"/>
      <c r="P24" s="99"/>
      <c r="Q24" s="100"/>
      <c r="R24" s="100"/>
      <c r="S24" s="100"/>
      <c r="T24" s="100"/>
      <c r="U24" s="101"/>
      <c r="V24" s="35"/>
      <c r="W24" s="35"/>
      <c r="X24" s="35"/>
      <c r="Y24" s="35"/>
      <c r="Z24" s="34"/>
      <c r="AA24" s="34"/>
    </row>
    <row r="25" spans="10:27" ht="14.25" customHeight="1" thickTop="1">
      <c r="J25" s="18"/>
      <c r="K25" s="33"/>
      <c r="L25" s="33"/>
      <c r="M25" s="33"/>
      <c r="N25" s="33"/>
      <c r="O25" s="33"/>
      <c r="P25" s="120">
        <v>1000</v>
      </c>
      <c r="Q25" s="121"/>
      <c r="R25" s="121"/>
      <c r="S25" s="121"/>
      <c r="T25" s="121"/>
      <c r="U25" s="122"/>
      <c r="V25" s="35"/>
      <c r="W25" s="35"/>
      <c r="X25" s="35"/>
      <c r="Y25" s="35"/>
      <c r="Z25" s="34"/>
      <c r="AA25" s="34"/>
    </row>
    <row r="26" spans="10:27" ht="14.25" customHeight="1">
      <c r="J26" s="18"/>
      <c r="K26" s="33"/>
      <c r="L26" s="33"/>
      <c r="M26" s="33"/>
      <c r="N26" s="33"/>
      <c r="O26" s="33"/>
      <c r="P26" s="123"/>
      <c r="Q26" s="124"/>
      <c r="R26" s="124"/>
      <c r="S26" s="124"/>
      <c r="T26" s="124"/>
      <c r="U26" s="125"/>
      <c r="V26" s="35"/>
      <c r="W26" s="35"/>
      <c r="X26" s="35"/>
      <c r="Y26" s="35"/>
      <c r="Z26" s="34"/>
      <c r="AA26" s="34"/>
    </row>
    <row r="27" spans="10:27" ht="14.25" customHeight="1" thickBot="1">
      <c r="J27" s="18"/>
      <c r="K27" s="33"/>
      <c r="L27" s="33"/>
      <c r="M27" s="33"/>
      <c r="N27" s="33"/>
      <c r="O27" s="33"/>
      <c r="P27" s="126"/>
      <c r="Q27" s="127"/>
      <c r="R27" s="127"/>
      <c r="S27" s="127"/>
      <c r="T27" s="127"/>
      <c r="U27" s="128"/>
      <c r="V27" s="35"/>
      <c r="W27" s="35"/>
      <c r="X27" s="35"/>
      <c r="Y27" s="35"/>
      <c r="Z27" s="34"/>
      <c r="AA27" s="34"/>
    </row>
    <row r="28" spans="10:27" ht="14.25" customHeight="1" thickTop="1" thickBot="1"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5"/>
      <c r="U28" s="35"/>
      <c r="V28" s="35"/>
      <c r="W28" s="35"/>
      <c r="X28" s="35"/>
      <c r="Y28" s="35"/>
      <c r="Z28" s="34"/>
      <c r="AA28" s="34"/>
    </row>
    <row r="29" spans="10:27" ht="14.25" customHeight="1" thickTop="1">
      <c r="J29" s="18"/>
      <c r="K29" s="33"/>
      <c r="L29" s="33"/>
      <c r="M29" s="33"/>
      <c r="N29" s="33"/>
      <c r="O29" s="33"/>
      <c r="P29" s="93" t="s">
        <v>12</v>
      </c>
      <c r="Q29" s="94"/>
      <c r="R29" s="95"/>
      <c r="S29" s="93" t="s">
        <v>13</v>
      </c>
      <c r="T29" s="94"/>
      <c r="U29" s="95"/>
      <c r="V29" s="35"/>
      <c r="W29" s="35"/>
      <c r="X29" s="35"/>
      <c r="Y29" s="35"/>
      <c r="Z29" s="34"/>
      <c r="AA29" s="34"/>
    </row>
    <row r="30" spans="10:27" ht="14.25" customHeight="1">
      <c r="J30" s="18"/>
      <c r="K30" s="33"/>
      <c r="L30" s="33"/>
      <c r="M30" s="33"/>
      <c r="N30" s="33"/>
      <c r="O30" s="33"/>
      <c r="P30" s="96"/>
      <c r="Q30" s="97"/>
      <c r="R30" s="98"/>
      <c r="S30" s="96"/>
      <c r="T30" s="97"/>
      <c r="U30" s="98"/>
      <c r="V30" s="35"/>
      <c r="W30" s="35"/>
      <c r="X30" s="35"/>
      <c r="Y30" s="35"/>
      <c r="Z30" s="34"/>
      <c r="AA30" s="34"/>
    </row>
    <row r="31" spans="10:27" ht="14.25" customHeight="1" thickBot="1">
      <c r="J31" s="18"/>
      <c r="K31" s="33"/>
      <c r="L31" s="33"/>
      <c r="M31" s="33"/>
      <c r="N31" s="33"/>
      <c r="O31" s="33"/>
      <c r="P31" s="99"/>
      <c r="Q31" s="100"/>
      <c r="R31" s="101"/>
      <c r="S31" s="99"/>
      <c r="T31" s="100"/>
      <c r="U31" s="101"/>
      <c r="V31" s="35"/>
      <c r="W31" s="35"/>
      <c r="X31" s="35"/>
      <c r="Y31" s="35"/>
      <c r="Z31" s="34"/>
      <c r="AA31" s="34"/>
    </row>
    <row r="32" spans="10:27" ht="14.25" customHeight="1" thickTop="1">
      <c r="J32" s="18"/>
      <c r="K32" s="33"/>
      <c r="L32" s="33"/>
      <c r="M32" s="33"/>
      <c r="N32" s="33"/>
      <c r="O32" s="33"/>
      <c r="P32" s="102">
        <f>SUM(P18-P25)</f>
        <v>3723.7849999999999</v>
      </c>
      <c r="Q32" s="103"/>
      <c r="R32" s="104"/>
      <c r="S32" s="111">
        <f>SUM(S18-P25)</f>
        <v>6300.3950000000004</v>
      </c>
      <c r="T32" s="112"/>
      <c r="U32" s="113"/>
      <c r="V32" s="35"/>
      <c r="W32" s="35"/>
      <c r="X32" s="35"/>
      <c r="Y32" s="35"/>
      <c r="Z32" s="34"/>
      <c r="AA32" s="34"/>
    </row>
    <row r="33" spans="2:38" ht="14.25" customHeight="1">
      <c r="J33" s="18"/>
      <c r="K33" s="33"/>
      <c r="L33" s="33"/>
      <c r="M33" s="33"/>
      <c r="N33" s="33"/>
      <c r="O33" s="33"/>
      <c r="P33" s="105"/>
      <c r="Q33" s="106"/>
      <c r="R33" s="107"/>
      <c r="S33" s="114"/>
      <c r="T33" s="115"/>
      <c r="U33" s="116"/>
      <c r="V33" s="35"/>
      <c r="W33" s="35"/>
      <c r="X33" s="35"/>
      <c r="Y33" s="35"/>
      <c r="Z33" s="34"/>
      <c r="AA33" s="34"/>
    </row>
    <row r="34" spans="2:38" ht="14.25" customHeight="1" thickBot="1">
      <c r="J34" s="18"/>
      <c r="K34" s="33"/>
      <c r="L34" s="33"/>
      <c r="M34" s="33"/>
      <c r="N34" s="33"/>
      <c r="O34" s="33"/>
      <c r="P34" s="108"/>
      <c r="Q34" s="109"/>
      <c r="R34" s="110"/>
      <c r="S34" s="117"/>
      <c r="T34" s="118"/>
      <c r="U34" s="119"/>
      <c r="V34" s="35"/>
      <c r="W34" s="35"/>
      <c r="X34" s="35"/>
      <c r="Y34" s="35"/>
      <c r="Z34" s="34"/>
      <c r="AA34" s="34"/>
    </row>
    <row r="35" spans="2:38" ht="14.25" customHeight="1" thickTop="1" thickBot="1"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38" ht="30" customHeight="1" thickTop="1" thickBo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I36" s="13">
        <f>SUM(C36:AG36)</f>
        <v>0</v>
      </c>
      <c r="AJ36" s="15" t="s">
        <v>5</v>
      </c>
    </row>
    <row r="37" spans="2:38" ht="30" customHeight="1" thickTop="1" thickBot="1">
      <c r="B37" s="2" t="s">
        <v>0</v>
      </c>
      <c r="C37" s="46">
        <v>27</v>
      </c>
      <c r="D37" s="38">
        <v>28</v>
      </c>
      <c r="E37" s="21">
        <v>29</v>
      </c>
      <c r="F37" s="21">
        <v>30</v>
      </c>
      <c r="G37" s="21">
        <v>31</v>
      </c>
      <c r="H37" s="21">
        <v>1</v>
      </c>
      <c r="I37" s="21">
        <v>2</v>
      </c>
      <c r="J37" s="21">
        <v>3</v>
      </c>
      <c r="K37" s="38">
        <v>4</v>
      </c>
      <c r="L37" s="21">
        <v>5</v>
      </c>
      <c r="M37" s="21">
        <v>6</v>
      </c>
      <c r="N37" s="21">
        <v>7</v>
      </c>
      <c r="O37" s="21">
        <v>8</v>
      </c>
      <c r="P37" s="21">
        <v>9</v>
      </c>
      <c r="Q37" s="21">
        <v>10</v>
      </c>
      <c r="R37" s="38">
        <v>11</v>
      </c>
      <c r="S37" s="21">
        <v>12</v>
      </c>
      <c r="T37" s="21">
        <v>13</v>
      </c>
      <c r="U37" s="21">
        <v>14</v>
      </c>
      <c r="V37" s="21">
        <v>15</v>
      </c>
      <c r="W37" s="21">
        <v>16</v>
      </c>
      <c r="X37" s="21">
        <v>17</v>
      </c>
      <c r="Y37" s="38">
        <v>18</v>
      </c>
      <c r="Z37" s="21">
        <v>19</v>
      </c>
      <c r="AA37" s="21">
        <v>20</v>
      </c>
      <c r="AB37" s="21">
        <v>21</v>
      </c>
      <c r="AC37" s="21">
        <v>22</v>
      </c>
      <c r="AD37" s="21">
        <v>23</v>
      </c>
      <c r="AE37" s="21">
        <v>24</v>
      </c>
      <c r="AF37" s="38">
        <v>25</v>
      </c>
      <c r="AG37" s="29">
        <v>26</v>
      </c>
      <c r="AL37" s="5"/>
    </row>
    <row r="38" spans="2:38" ht="30" customHeight="1" thickTop="1" thickBot="1">
      <c r="B38" s="3" t="s">
        <v>1</v>
      </c>
      <c r="C38" s="47">
        <v>1</v>
      </c>
      <c r="D38" s="39">
        <v>1</v>
      </c>
      <c r="E38" s="23">
        <v>1</v>
      </c>
      <c r="F38" s="23">
        <v>1</v>
      </c>
      <c r="G38" s="23">
        <v>0</v>
      </c>
      <c r="H38" s="23">
        <v>1</v>
      </c>
      <c r="I38" s="23">
        <v>1</v>
      </c>
      <c r="J38" s="23">
        <v>1</v>
      </c>
      <c r="K38" s="39">
        <v>1</v>
      </c>
      <c r="L38" s="23">
        <v>1</v>
      </c>
      <c r="M38" s="23">
        <v>1</v>
      </c>
      <c r="N38" s="23">
        <v>1</v>
      </c>
      <c r="O38" s="23">
        <v>1</v>
      </c>
      <c r="P38" s="23">
        <v>1</v>
      </c>
      <c r="Q38" s="23">
        <v>1</v>
      </c>
      <c r="R38" s="39">
        <v>1</v>
      </c>
      <c r="S38" s="23">
        <v>1</v>
      </c>
      <c r="T38" s="23">
        <v>1</v>
      </c>
      <c r="U38" s="23">
        <v>1</v>
      </c>
      <c r="V38" s="23">
        <v>1</v>
      </c>
      <c r="W38" s="23">
        <v>1</v>
      </c>
      <c r="X38" s="23">
        <v>1</v>
      </c>
      <c r="Y38" s="39">
        <v>1</v>
      </c>
      <c r="Z38" s="23">
        <v>1</v>
      </c>
      <c r="AA38" s="23">
        <v>1</v>
      </c>
      <c r="AB38" s="23">
        <v>1</v>
      </c>
      <c r="AC38" s="23">
        <v>1</v>
      </c>
      <c r="AD38" s="23">
        <v>1</v>
      </c>
      <c r="AE38" s="23">
        <v>1</v>
      </c>
      <c r="AF38" s="39">
        <v>1</v>
      </c>
      <c r="AG38" s="30">
        <v>1</v>
      </c>
      <c r="AI38" s="4">
        <f>SUM(C38:AG38)</f>
        <v>30</v>
      </c>
      <c r="AJ38" s="15" t="s">
        <v>3</v>
      </c>
    </row>
    <row r="39" spans="2:38" ht="30" customHeight="1" thickTop="1" thickBot="1">
      <c r="B39" s="7" t="s">
        <v>2</v>
      </c>
      <c r="C39" s="48">
        <v>0</v>
      </c>
      <c r="D39" s="40">
        <v>0</v>
      </c>
      <c r="E39" s="25">
        <v>1</v>
      </c>
      <c r="F39" s="25">
        <v>1</v>
      </c>
      <c r="G39" s="25">
        <v>1</v>
      </c>
      <c r="H39" s="25">
        <v>1</v>
      </c>
      <c r="I39" s="25">
        <v>1</v>
      </c>
      <c r="J39" s="25">
        <v>1</v>
      </c>
      <c r="K39" s="40">
        <v>0</v>
      </c>
      <c r="L39" s="25">
        <v>1</v>
      </c>
      <c r="M39" s="25">
        <v>1</v>
      </c>
      <c r="N39" s="25">
        <v>1</v>
      </c>
      <c r="O39" s="25">
        <v>1</v>
      </c>
      <c r="P39" s="25">
        <v>1</v>
      </c>
      <c r="Q39" s="25">
        <v>1</v>
      </c>
      <c r="R39" s="40">
        <v>0</v>
      </c>
      <c r="S39" s="25">
        <v>1</v>
      </c>
      <c r="T39" s="25">
        <v>1</v>
      </c>
      <c r="U39" s="25">
        <v>1</v>
      </c>
      <c r="V39" s="25">
        <v>1</v>
      </c>
      <c r="W39" s="25">
        <v>1</v>
      </c>
      <c r="X39" s="25">
        <v>1</v>
      </c>
      <c r="Y39" s="40">
        <v>0</v>
      </c>
      <c r="Z39" s="25">
        <v>1</v>
      </c>
      <c r="AA39" s="25">
        <v>1</v>
      </c>
      <c r="AB39" s="25">
        <v>1</v>
      </c>
      <c r="AC39" s="25">
        <v>1</v>
      </c>
      <c r="AD39" s="25">
        <v>1</v>
      </c>
      <c r="AE39" s="25">
        <v>1</v>
      </c>
      <c r="AF39" s="40">
        <v>0</v>
      </c>
      <c r="AG39" s="31">
        <v>1</v>
      </c>
      <c r="AI39" s="6">
        <f>SUM(C39:AG39)</f>
        <v>25</v>
      </c>
      <c r="AJ39" s="17" t="s">
        <v>6</v>
      </c>
    </row>
    <row r="40" spans="2:38" ht="30" customHeight="1" thickTop="1" thickBot="1">
      <c r="B40" s="8"/>
      <c r="C40" s="49"/>
      <c r="D40" s="41"/>
      <c r="E40" s="27"/>
      <c r="F40" s="27"/>
      <c r="G40" s="27"/>
      <c r="H40" s="27"/>
      <c r="I40" s="27"/>
      <c r="J40" s="27"/>
      <c r="K40" s="41"/>
      <c r="L40" s="27"/>
      <c r="M40" s="27"/>
      <c r="N40" s="27"/>
      <c r="O40" s="27"/>
      <c r="P40" s="27"/>
      <c r="Q40" s="27"/>
      <c r="R40" s="41"/>
      <c r="S40" s="27"/>
      <c r="T40" s="27"/>
      <c r="U40" s="27"/>
      <c r="V40" s="27"/>
      <c r="W40" s="27"/>
      <c r="X40" s="27"/>
      <c r="Y40" s="41"/>
      <c r="Z40" s="27"/>
      <c r="AA40" s="27"/>
      <c r="AB40" s="27"/>
      <c r="AC40" s="27"/>
      <c r="AD40" s="27"/>
      <c r="AE40" s="27"/>
      <c r="AF40" s="41"/>
      <c r="AG40" s="28"/>
      <c r="AI40" s="9">
        <f>SUM(C40:AG40)</f>
        <v>0</v>
      </c>
      <c r="AJ40" s="16" t="s">
        <v>7</v>
      </c>
    </row>
    <row r="41" spans="2:38" ht="14.25" customHeight="1" thickTop="1"/>
  </sheetData>
  <mergeCells count="21">
    <mergeCell ref="J14:L16"/>
    <mergeCell ref="J17:L19"/>
    <mergeCell ref="Y14:AA16"/>
    <mergeCell ref="Y17:AA19"/>
    <mergeCell ref="J2:AA5"/>
    <mergeCell ref="M8:O10"/>
    <mergeCell ref="P8:U10"/>
    <mergeCell ref="V8:X10"/>
    <mergeCell ref="M11:O13"/>
    <mergeCell ref="P11:U13"/>
    <mergeCell ref="V11:X13"/>
    <mergeCell ref="P15:R17"/>
    <mergeCell ref="S15:U17"/>
    <mergeCell ref="P18:R20"/>
    <mergeCell ref="S18:U20"/>
    <mergeCell ref="P22:U24"/>
    <mergeCell ref="P25:U27"/>
    <mergeCell ref="P29:R31"/>
    <mergeCell ref="S29:U31"/>
    <mergeCell ref="P32:R34"/>
    <mergeCell ref="S32:U34"/>
  </mergeCells>
  <phoneticPr fontId="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1"/>
  <sheetViews>
    <sheetView showGridLines="0" zoomScale="50" zoomScaleNormal="50" workbookViewId="0">
      <selection activeCell="C36" sqref="C36"/>
    </sheetView>
  </sheetViews>
  <sheetFormatPr defaultColWidth="9" defaultRowHeight="14.25" customHeight="1"/>
  <cols>
    <col min="1" max="1" width="5.6640625" style="1" customWidth="1"/>
    <col min="2" max="2" width="32.77734375" style="1" customWidth="1"/>
    <col min="3" max="33" width="9" style="1"/>
    <col min="34" max="34" width="5.21875" style="1" customWidth="1"/>
    <col min="35" max="35" width="12.44140625" style="1" customWidth="1"/>
    <col min="36" max="36" width="11.44140625" style="1" customWidth="1"/>
    <col min="37" max="37" width="4.44140625" style="1" customWidth="1"/>
    <col min="38" max="38" width="5.21875" style="1" customWidth="1"/>
    <col min="39" max="16384" width="9" style="1"/>
  </cols>
  <sheetData>
    <row r="1" spans="10:27" ht="14.25" customHeight="1" thickBot="1"/>
    <row r="2" spans="10:27" ht="14.25" customHeight="1" thickTop="1">
      <c r="J2" s="138" t="s">
        <v>17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</row>
    <row r="3" spans="10:27" ht="14.25" customHeight="1"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</row>
    <row r="4" spans="10:27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10:27" ht="14.25" customHeight="1" thickBot="1"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</row>
    <row r="6" spans="10:27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10:27" ht="14.25" customHeight="1" thickBo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10:27" ht="14.25" customHeight="1" thickTop="1">
      <c r="J8" s="32"/>
      <c r="K8" s="35"/>
      <c r="L8" s="35"/>
      <c r="M8" s="93" t="s">
        <v>4</v>
      </c>
      <c r="N8" s="94"/>
      <c r="O8" s="95"/>
      <c r="P8" s="93" t="s">
        <v>14</v>
      </c>
      <c r="Q8" s="94"/>
      <c r="R8" s="94"/>
      <c r="S8" s="94"/>
      <c r="T8" s="94"/>
      <c r="U8" s="95"/>
      <c r="V8" s="93" t="s">
        <v>11</v>
      </c>
      <c r="W8" s="94"/>
      <c r="X8" s="95"/>
      <c r="Y8" s="35"/>
      <c r="Z8" s="34"/>
      <c r="AA8" s="34"/>
    </row>
    <row r="9" spans="10:27" ht="14.25" customHeight="1">
      <c r="J9" s="32"/>
      <c r="K9" s="35"/>
      <c r="L9" s="35"/>
      <c r="M9" s="96"/>
      <c r="N9" s="97"/>
      <c r="O9" s="98"/>
      <c r="P9" s="96"/>
      <c r="Q9" s="97"/>
      <c r="R9" s="97"/>
      <c r="S9" s="97"/>
      <c r="T9" s="97"/>
      <c r="U9" s="98"/>
      <c r="V9" s="96"/>
      <c r="W9" s="97"/>
      <c r="X9" s="98"/>
      <c r="Y9" s="35"/>
      <c r="Z9" s="34"/>
      <c r="AA9" s="34"/>
    </row>
    <row r="10" spans="10:27" ht="14.25" customHeight="1" thickBot="1">
      <c r="J10" s="32"/>
      <c r="K10" s="35"/>
      <c r="L10" s="35"/>
      <c r="M10" s="99"/>
      <c r="N10" s="100"/>
      <c r="O10" s="101"/>
      <c r="P10" s="99"/>
      <c r="Q10" s="100"/>
      <c r="R10" s="100"/>
      <c r="S10" s="100"/>
      <c r="T10" s="100"/>
      <c r="U10" s="101"/>
      <c r="V10" s="99"/>
      <c r="W10" s="100"/>
      <c r="X10" s="101"/>
      <c r="Y10" s="35"/>
      <c r="Z10" s="34"/>
      <c r="AA10" s="34"/>
    </row>
    <row r="11" spans="10:27" ht="14.25" customHeight="1" thickTop="1">
      <c r="J11" s="32"/>
      <c r="K11" s="35"/>
      <c r="L11" s="35"/>
      <c r="M11" s="147">
        <f>SUM(AI38:AI39)</f>
        <v>55</v>
      </c>
      <c r="N11" s="148"/>
      <c r="O11" s="149"/>
      <c r="P11" s="165">
        <f>SUM('1'!S12:U14)</f>
        <v>2576.61</v>
      </c>
      <c r="Q11" s="166"/>
      <c r="R11" s="166"/>
      <c r="S11" s="166"/>
      <c r="T11" s="166"/>
      <c r="U11" s="167"/>
      <c r="V11" s="201">
        <f>SUM(P11/30)</f>
        <v>85.887</v>
      </c>
      <c r="W11" s="202"/>
      <c r="X11" s="203"/>
      <c r="Y11" s="35"/>
      <c r="Z11" s="34"/>
      <c r="AA11" s="34"/>
    </row>
    <row r="12" spans="10:27" ht="14.25" customHeight="1">
      <c r="J12" s="32"/>
      <c r="K12" s="35"/>
      <c r="L12" s="35"/>
      <c r="M12" s="150"/>
      <c r="N12" s="151"/>
      <c r="O12" s="152"/>
      <c r="P12" s="168"/>
      <c r="Q12" s="169"/>
      <c r="R12" s="169"/>
      <c r="S12" s="169"/>
      <c r="T12" s="169"/>
      <c r="U12" s="170"/>
      <c r="V12" s="204"/>
      <c r="W12" s="205"/>
      <c r="X12" s="206"/>
      <c r="Y12" s="35"/>
      <c r="Z12" s="34"/>
      <c r="AA12" s="34"/>
    </row>
    <row r="13" spans="10:27" ht="14.25" customHeight="1" thickBot="1">
      <c r="J13" s="32"/>
      <c r="K13" s="35"/>
      <c r="L13" s="35"/>
      <c r="M13" s="153"/>
      <c r="N13" s="154"/>
      <c r="O13" s="155"/>
      <c r="P13" s="171"/>
      <c r="Q13" s="172"/>
      <c r="R13" s="172"/>
      <c r="S13" s="172"/>
      <c r="T13" s="172"/>
      <c r="U13" s="173"/>
      <c r="V13" s="207"/>
      <c r="W13" s="208"/>
      <c r="X13" s="209"/>
      <c r="Y13" s="35"/>
      <c r="Z13" s="34"/>
      <c r="AA13" s="34"/>
    </row>
    <row r="14" spans="10:27" ht="14.25" customHeight="1" thickTop="1" thickBot="1">
      <c r="J14" s="174" t="s">
        <v>27</v>
      </c>
      <c r="K14" s="175"/>
      <c r="L14" s="176"/>
      <c r="M14" s="33"/>
      <c r="N14" s="33"/>
      <c r="O14" s="33"/>
      <c r="P14" s="33"/>
      <c r="Q14" s="33"/>
      <c r="R14" s="33"/>
      <c r="S14" s="33"/>
      <c r="T14" s="35"/>
      <c r="U14" s="35"/>
      <c r="V14" s="35"/>
      <c r="W14" s="35"/>
      <c r="X14" s="35"/>
      <c r="Y14" s="93" t="s">
        <v>28</v>
      </c>
      <c r="Z14" s="94"/>
      <c r="AA14" s="95"/>
    </row>
    <row r="15" spans="10:27" ht="14.25" customHeight="1" thickTop="1">
      <c r="J15" s="177"/>
      <c r="K15" s="178"/>
      <c r="L15" s="179"/>
      <c r="M15" s="33"/>
      <c r="N15" s="33"/>
      <c r="O15" s="33"/>
      <c r="P15" s="93" t="s">
        <v>12</v>
      </c>
      <c r="Q15" s="94"/>
      <c r="R15" s="95"/>
      <c r="S15" s="93" t="s">
        <v>13</v>
      </c>
      <c r="T15" s="94"/>
      <c r="U15" s="95"/>
      <c r="V15" s="35"/>
      <c r="W15" s="35"/>
      <c r="X15" s="35"/>
      <c r="Y15" s="96"/>
      <c r="Z15" s="97"/>
      <c r="AA15" s="98"/>
    </row>
    <row r="16" spans="10:27" ht="14.25" customHeight="1" thickBot="1">
      <c r="J16" s="180"/>
      <c r="K16" s="181"/>
      <c r="L16" s="182"/>
      <c r="M16" s="33"/>
      <c r="N16" s="33"/>
      <c r="O16" s="33"/>
      <c r="P16" s="96"/>
      <c r="Q16" s="97"/>
      <c r="R16" s="98"/>
      <c r="S16" s="96"/>
      <c r="T16" s="97"/>
      <c r="U16" s="98"/>
      <c r="V16" s="35"/>
      <c r="W16" s="35"/>
      <c r="X16" s="35"/>
      <c r="Y16" s="99"/>
      <c r="Z16" s="100"/>
      <c r="AA16" s="101"/>
    </row>
    <row r="17" spans="10:27" ht="14.25" customHeight="1" thickTop="1" thickBot="1">
      <c r="J17" s="183">
        <f>SUM('1'!AI37+'2'!AI36+'3'!AI36+'4'!AI36+'5'!AI36+'6'!AI36+'7'!AI36+'8'!AI36+'9'!AI36+'10'!AI36+'11'!AI36+'12'!AI36)</f>
        <v>0</v>
      </c>
      <c r="K17" s="184"/>
      <c r="L17" s="185"/>
      <c r="M17" s="33"/>
      <c r="N17" s="33"/>
      <c r="O17" s="33"/>
      <c r="P17" s="99"/>
      <c r="Q17" s="100"/>
      <c r="R17" s="101"/>
      <c r="S17" s="99"/>
      <c r="T17" s="100"/>
      <c r="U17" s="101"/>
      <c r="V17" s="35"/>
      <c r="W17" s="35"/>
      <c r="X17" s="35"/>
      <c r="Y17" s="192">
        <f>SUM(30-J17)</f>
        <v>30</v>
      </c>
      <c r="Z17" s="193"/>
      <c r="AA17" s="194"/>
    </row>
    <row r="18" spans="10:27" ht="14.25" customHeight="1" thickTop="1">
      <c r="J18" s="186"/>
      <c r="K18" s="187"/>
      <c r="L18" s="188"/>
      <c r="M18" s="33"/>
      <c r="N18" s="33"/>
      <c r="O18" s="33"/>
      <c r="P18" s="102">
        <f>(M11*V11)+AI40</f>
        <v>4723.7849999999999</v>
      </c>
      <c r="Q18" s="103"/>
      <c r="R18" s="104"/>
      <c r="S18" s="111">
        <f>SUM(P18+P11)</f>
        <v>7300.3950000000004</v>
      </c>
      <c r="T18" s="112"/>
      <c r="U18" s="113"/>
      <c r="V18" s="35"/>
      <c r="W18" s="35"/>
      <c r="X18" s="35"/>
      <c r="Y18" s="195"/>
      <c r="Z18" s="196"/>
      <c r="AA18" s="197"/>
    </row>
    <row r="19" spans="10:27" ht="14.25" customHeight="1" thickBot="1">
      <c r="J19" s="189"/>
      <c r="K19" s="190"/>
      <c r="L19" s="191"/>
      <c r="M19" s="33"/>
      <c r="N19" s="33"/>
      <c r="O19" s="33"/>
      <c r="P19" s="105"/>
      <c r="Q19" s="106"/>
      <c r="R19" s="107"/>
      <c r="S19" s="114"/>
      <c r="T19" s="115"/>
      <c r="U19" s="116"/>
      <c r="V19" s="35"/>
      <c r="W19" s="35"/>
      <c r="X19" s="35"/>
      <c r="Y19" s="198"/>
      <c r="Z19" s="199"/>
      <c r="AA19" s="200"/>
    </row>
    <row r="20" spans="10:27" ht="14.25" customHeight="1" thickTop="1" thickBot="1">
      <c r="J20" s="18"/>
      <c r="K20" s="33"/>
      <c r="L20" s="33"/>
      <c r="M20" s="33"/>
      <c r="N20" s="33"/>
      <c r="O20" s="33"/>
      <c r="P20" s="108"/>
      <c r="Q20" s="109"/>
      <c r="R20" s="110"/>
      <c r="S20" s="117"/>
      <c r="T20" s="118"/>
      <c r="U20" s="119"/>
      <c r="V20" s="35"/>
      <c r="W20" s="35"/>
      <c r="X20" s="35"/>
      <c r="Y20" s="35"/>
      <c r="Z20" s="34"/>
      <c r="AA20" s="34"/>
    </row>
    <row r="21" spans="10:27" ht="14.25" customHeight="1" thickTop="1" thickBot="1"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5"/>
      <c r="U21" s="35"/>
      <c r="V21" s="35"/>
      <c r="W21" s="35"/>
      <c r="X21" s="35"/>
      <c r="Y21" s="35"/>
      <c r="Z21" s="34"/>
      <c r="AA21" s="34"/>
    </row>
    <row r="22" spans="10:27" ht="14.25" customHeight="1" thickTop="1">
      <c r="J22" s="18"/>
      <c r="K22" s="33"/>
      <c r="L22" s="33"/>
      <c r="M22" s="33"/>
      <c r="N22" s="33"/>
      <c r="O22" s="33"/>
      <c r="P22" s="93" t="s">
        <v>8</v>
      </c>
      <c r="Q22" s="94"/>
      <c r="R22" s="94"/>
      <c r="S22" s="94"/>
      <c r="T22" s="94"/>
      <c r="U22" s="95"/>
      <c r="V22" s="35"/>
      <c r="W22" s="35"/>
      <c r="X22" s="35"/>
      <c r="Y22" s="35"/>
      <c r="Z22" s="34"/>
      <c r="AA22" s="34"/>
    </row>
    <row r="23" spans="10:27" ht="14.25" customHeight="1">
      <c r="J23" s="18"/>
      <c r="K23" s="33"/>
      <c r="L23" s="33"/>
      <c r="M23" s="33"/>
      <c r="N23" s="33"/>
      <c r="O23" s="33"/>
      <c r="P23" s="96"/>
      <c r="Q23" s="97"/>
      <c r="R23" s="97"/>
      <c r="S23" s="97"/>
      <c r="T23" s="97"/>
      <c r="U23" s="98"/>
      <c r="V23" s="35"/>
      <c r="W23" s="35"/>
      <c r="X23" s="35"/>
      <c r="Y23" s="35"/>
      <c r="Z23" s="34"/>
      <c r="AA23" s="34"/>
    </row>
    <row r="24" spans="10:27" ht="14.25" customHeight="1" thickBot="1">
      <c r="J24" s="18"/>
      <c r="K24" s="33"/>
      <c r="L24" s="33"/>
      <c r="M24" s="33"/>
      <c r="N24" s="33"/>
      <c r="O24" s="33"/>
      <c r="P24" s="99"/>
      <c r="Q24" s="100"/>
      <c r="R24" s="100"/>
      <c r="S24" s="100"/>
      <c r="T24" s="100"/>
      <c r="U24" s="101"/>
      <c r="V24" s="35"/>
      <c r="W24" s="35"/>
      <c r="X24" s="35"/>
      <c r="Y24" s="35"/>
      <c r="Z24" s="34"/>
      <c r="AA24" s="34"/>
    </row>
    <row r="25" spans="10:27" ht="14.25" customHeight="1" thickTop="1">
      <c r="J25" s="18"/>
      <c r="K25" s="33"/>
      <c r="L25" s="33"/>
      <c r="M25" s="33"/>
      <c r="N25" s="33"/>
      <c r="O25" s="33"/>
      <c r="P25" s="120">
        <v>1000</v>
      </c>
      <c r="Q25" s="121"/>
      <c r="R25" s="121"/>
      <c r="S25" s="121"/>
      <c r="T25" s="121"/>
      <c r="U25" s="122"/>
      <c r="V25" s="35"/>
      <c r="W25" s="35"/>
      <c r="X25" s="35"/>
      <c r="Y25" s="35"/>
      <c r="Z25" s="34"/>
      <c r="AA25" s="34"/>
    </row>
    <row r="26" spans="10:27" ht="14.25" customHeight="1">
      <c r="J26" s="18"/>
      <c r="K26" s="33"/>
      <c r="L26" s="33"/>
      <c r="M26" s="33"/>
      <c r="N26" s="33"/>
      <c r="O26" s="33"/>
      <c r="P26" s="123"/>
      <c r="Q26" s="124"/>
      <c r="R26" s="124"/>
      <c r="S26" s="124"/>
      <c r="T26" s="124"/>
      <c r="U26" s="125"/>
      <c r="V26" s="35"/>
      <c r="W26" s="35"/>
      <c r="X26" s="35"/>
      <c r="Y26" s="35"/>
      <c r="Z26" s="34"/>
      <c r="AA26" s="34"/>
    </row>
    <row r="27" spans="10:27" ht="14.25" customHeight="1" thickBot="1">
      <c r="J27" s="18"/>
      <c r="K27" s="33"/>
      <c r="L27" s="33"/>
      <c r="M27" s="33"/>
      <c r="N27" s="33"/>
      <c r="O27" s="33"/>
      <c r="P27" s="126"/>
      <c r="Q27" s="127"/>
      <c r="R27" s="127"/>
      <c r="S27" s="127"/>
      <c r="T27" s="127"/>
      <c r="U27" s="128"/>
      <c r="V27" s="35"/>
      <c r="W27" s="35"/>
      <c r="X27" s="35"/>
      <c r="Y27" s="35"/>
      <c r="Z27" s="34"/>
      <c r="AA27" s="34"/>
    </row>
    <row r="28" spans="10:27" ht="14.25" customHeight="1" thickTop="1" thickBot="1"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5"/>
      <c r="U28" s="35"/>
      <c r="V28" s="35"/>
      <c r="W28" s="35"/>
      <c r="X28" s="35"/>
      <c r="Y28" s="35"/>
      <c r="Z28" s="34"/>
      <c r="AA28" s="34"/>
    </row>
    <row r="29" spans="10:27" ht="14.25" customHeight="1" thickTop="1">
      <c r="J29" s="18"/>
      <c r="K29" s="33"/>
      <c r="L29" s="33"/>
      <c r="M29" s="33"/>
      <c r="N29" s="33"/>
      <c r="O29" s="33"/>
      <c r="P29" s="93" t="s">
        <v>12</v>
      </c>
      <c r="Q29" s="94"/>
      <c r="R29" s="95"/>
      <c r="S29" s="93" t="s">
        <v>13</v>
      </c>
      <c r="T29" s="94"/>
      <c r="U29" s="95"/>
      <c r="V29" s="35"/>
      <c r="W29" s="35"/>
      <c r="X29" s="35"/>
      <c r="Y29" s="35"/>
      <c r="Z29" s="34"/>
      <c r="AA29" s="34"/>
    </row>
    <row r="30" spans="10:27" ht="14.25" customHeight="1">
      <c r="J30" s="18"/>
      <c r="K30" s="33"/>
      <c r="L30" s="33"/>
      <c r="M30" s="33"/>
      <c r="N30" s="33"/>
      <c r="O30" s="33"/>
      <c r="P30" s="96"/>
      <c r="Q30" s="97"/>
      <c r="R30" s="98"/>
      <c r="S30" s="96"/>
      <c r="T30" s="97"/>
      <c r="U30" s="98"/>
      <c r="V30" s="35"/>
      <c r="W30" s="35"/>
      <c r="X30" s="35"/>
      <c r="Y30" s="35"/>
      <c r="Z30" s="34"/>
      <c r="AA30" s="34"/>
    </row>
    <row r="31" spans="10:27" ht="14.25" customHeight="1" thickBot="1">
      <c r="J31" s="18"/>
      <c r="K31" s="33"/>
      <c r="L31" s="33"/>
      <c r="M31" s="33"/>
      <c r="N31" s="33"/>
      <c r="O31" s="33"/>
      <c r="P31" s="99"/>
      <c r="Q31" s="100"/>
      <c r="R31" s="101"/>
      <c r="S31" s="99"/>
      <c r="T31" s="100"/>
      <c r="U31" s="101"/>
      <c r="V31" s="35"/>
      <c r="W31" s="35"/>
      <c r="X31" s="35"/>
      <c r="Y31" s="35"/>
      <c r="Z31" s="34"/>
      <c r="AA31" s="34"/>
    </row>
    <row r="32" spans="10:27" ht="14.25" customHeight="1" thickTop="1">
      <c r="J32" s="18"/>
      <c r="K32" s="33"/>
      <c r="L32" s="33"/>
      <c r="M32" s="33"/>
      <c r="N32" s="33"/>
      <c r="O32" s="33"/>
      <c r="P32" s="102">
        <f>SUM(P18-P25)</f>
        <v>3723.7849999999999</v>
      </c>
      <c r="Q32" s="103"/>
      <c r="R32" s="104"/>
      <c r="S32" s="111">
        <f>SUM(S18-P25)</f>
        <v>6300.3950000000004</v>
      </c>
      <c r="T32" s="112"/>
      <c r="U32" s="113"/>
      <c r="V32" s="35"/>
      <c r="W32" s="35"/>
      <c r="X32" s="35"/>
      <c r="Y32" s="35"/>
      <c r="Z32" s="34"/>
      <c r="AA32" s="34"/>
    </row>
    <row r="33" spans="2:38" ht="14.25" customHeight="1">
      <c r="J33" s="18"/>
      <c r="K33" s="33"/>
      <c r="L33" s="33"/>
      <c r="M33" s="33"/>
      <c r="N33" s="33"/>
      <c r="O33" s="33"/>
      <c r="P33" s="105"/>
      <c r="Q33" s="106"/>
      <c r="R33" s="107"/>
      <c r="S33" s="114"/>
      <c r="T33" s="115"/>
      <c r="U33" s="116"/>
      <c r="V33" s="35"/>
      <c r="W33" s="35"/>
      <c r="X33" s="35"/>
      <c r="Y33" s="35"/>
      <c r="Z33" s="34"/>
      <c r="AA33" s="34"/>
    </row>
    <row r="34" spans="2:38" ht="14.25" customHeight="1" thickBot="1">
      <c r="J34" s="18"/>
      <c r="K34" s="33"/>
      <c r="L34" s="33"/>
      <c r="M34" s="33"/>
      <c r="N34" s="33"/>
      <c r="O34" s="33"/>
      <c r="P34" s="108"/>
      <c r="Q34" s="109"/>
      <c r="R34" s="110"/>
      <c r="S34" s="117"/>
      <c r="T34" s="118"/>
      <c r="U34" s="119"/>
      <c r="V34" s="35"/>
      <c r="W34" s="35"/>
      <c r="X34" s="35"/>
      <c r="Y34" s="35"/>
      <c r="Z34" s="34"/>
      <c r="AA34" s="34"/>
    </row>
    <row r="35" spans="2:38" ht="14.25" customHeight="1" thickTop="1" thickBot="1"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38" ht="30" customHeight="1" thickTop="1" thickBo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I36" s="13">
        <f>SUM(C36:AG36)</f>
        <v>0</v>
      </c>
      <c r="AJ36" s="15" t="s">
        <v>5</v>
      </c>
    </row>
    <row r="37" spans="2:38" ht="30" customHeight="1" thickTop="1" thickBot="1">
      <c r="B37" s="2" t="s">
        <v>0</v>
      </c>
      <c r="C37" s="20">
        <v>27</v>
      </c>
      <c r="D37" s="21">
        <v>28</v>
      </c>
      <c r="E37" s="21">
        <v>29</v>
      </c>
      <c r="F37" s="21">
        <v>30</v>
      </c>
      <c r="G37" s="10">
        <v>31</v>
      </c>
      <c r="H37" s="21">
        <v>1</v>
      </c>
      <c r="I37" s="38">
        <v>2</v>
      </c>
      <c r="J37" s="21">
        <v>3</v>
      </c>
      <c r="K37" s="21">
        <v>4</v>
      </c>
      <c r="L37" s="21">
        <v>5</v>
      </c>
      <c r="M37" s="21">
        <v>6</v>
      </c>
      <c r="N37" s="21">
        <v>7</v>
      </c>
      <c r="O37" s="46">
        <v>8</v>
      </c>
      <c r="P37" s="38">
        <v>9</v>
      </c>
      <c r="Q37" s="21">
        <v>10</v>
      </c>
      <c r="R37" s="21">
        <v>11</v>
      </c>
      <c r="S37" s="21">
        <v>12</v>
      </c>
      <c r="T37" s="21">
        <v>13</v>
      </c>
      <c r="U37" s="21">
        <v>14</v>
      </c>
      <c r="V37" s="21">
        <v>15</v>
      </c>
      <c r="W37" s="38">
        <v>16</v>
      </c>
      <c r="X37" s="21">
        <v>17</v>
      </c>
      <c r="Y37" s="21">
        <v>18</v>
      </c>
      <c r="Z37" s="21">
        <v>19</v>
      </c>
      <c r="AA37" s="21">
        <v>20</v>
      </c>
      <c r="AB37" s="21">
        <v>21</v>
      </c>
      <c r="AC37" s="21">
        <v>22</v>
      </c>
      <c r="AD37" s="38">
        <v>23</v>
      </c>
      <c r="AE37" s="21">
        <v>24</v>
      </c>
      <c r="AF37" s="21">
        <v>25</v>
      </c>
      <c r="AG37" s="29">
        <v>26</v>
      </c>
      <c r="AL37" s="5"/>
    </row>
    <row r="38" spans="2:38" ht="30" customHeight="1" thickTop="1" thickBot="1">
      <c r="B38" s="3" t="s">
        <v>1</v>
      </c>
      <c r="C38" s="22">
        <v>1</v>
      </c>
      <c r="D38" s="23">
        <v>1</v>
      </c>
      <c r="E38" s="23">
        <v>1</v>
      </c>
      <c r="F38" s="23">
        <v>1</v>
      </c>
      <c r="G38" s="11">
        <v>0</v>
      </c>
      <c r="H38" s="23">
        <v>1</v>
      </c>
      <c r="I38" s="39">
        <v>1</v>
      </c>
      <c r="J38" s="23">
        <v>1</v>
      </c>
      <c r="K38" s="23">
        <v>1</v>
      </c>
      <c r="L38" s="23">
        <v>1</v>
      </c>
      <c r="M38" s="23">
        <v>1</v>
      </c>
      <c r="N38" s="23">
        <v>1</v>
      </c>
      <c r="O38" s="47">
        <v>1</v>
      </c>
      <c r="P38" s="39">
        <v>1</v>
      </c>
      <c r="Q38" s="23">
        <v>1</v>
      </c>
      <c r="R38" s="23">
        <v>1</v>
      </c>
      <c r="S38" s="23">
        <v>1</v>
      </c>
      <c r="T38" s="23">
        <v>1</v>
      </c>
      <c r="U38" s="23">
        <v>1</v>
      </c>
      <c r="V38" s="23">
        <v>1</v>
      </c>
      <c r="W38" s="39">
        <v>1</v>
      </c>
      <c r="X38" s="23">
        <v>1</v>
      </c>
      <c r="Y38" s="23">
        <v>1</v>
      </c>
      <c r="Z38" s="23">
        <v>1</v>
      </c>
      <c r="AA38" s="23">
        <v>1</v>
      </c>
      <c r="AB38" s="23">
        <v>1</v>
      </c>
      <c r="AC38" s="23">
        <v>1</v>
      </c>
      <c r="AD38" s="39">
        <v>1</v>
      </c>
      <c r="AE38" s="23">
        <v>1</v>
      </c>
      <c r="AF38" s="23">
        <v>1</v>
      </c>
      <c r="AG38" s="30">
        <v>1</v>
      </c>
      <c r="AI38" s="4">
        <f>SUM(C38:AG38)</f>
        <v>30</v>
      </c>
      <c r="AJ38" s="15" t="s">
        <v>3</v>
      </c>
    </row>
    <row r="39" spans="2:38" ht="30" customHeight="1" thickTop="1" thickBot="1">
      <c r="B39" s="7" t="s">
        <v>2</v>
      </c>
      <c r="C39" s="24">
        <v>1</v>
      </c>
      <c r="D39" s="25">
        <v>1</v>
      </c>
      <c r="E39" s="25">
        <v>1</v>
      </c>
      <c r="F39" s="25">
        <v>1</v>
      </c>
      <c r="G39" s="12">
        <v>0</v>
      </c>
      <c r="H39" s="25">
        <v>1</v>
      </c>
      <c r="I39" s="40">
        <v>0</v>
      </c>
      <c r="J39" s="25">
        <v>1</v>
      </c>
      <c r="K39" s="25">
        <v>1</v>
      </c>
      <c r="L39" s="25">
        <v>1</v>
      </c>
      <c r="M39" s="25">
        <v>1</v>
      </c>
      <c r="N39" s="25">
        <v>1</v>
      </c>
      <c r="O39" s="48">
        <v>0</v>
      </c>
      <c r="P39" s="40">
        <v>0</v>
      </c>
      <c r="Q39" s="25">
        <v>1</v>
      </c>
      <c r="R39" s="25">
        <v>1</v>
      </c>
      <c r="S39" s="25">
        <v>1</v>
      </c>
      <c r="T39" s="25">
        <v>1</v>
      </c>
      <c r="U39" s="25">
        <v>1</v>
      </c>
      <c r="V39" s="25">
        <v>1</v>
      </c>
      <c r="W39" s="40">
        <v>0</v>
      </c>
      <c r="X39" s="25">
        <v>1</v>
      </c>
      <c r="Y39" s="25">
        <v>1</v>
      </c>
      <c r="Z39" s="25">
        <v>1</v>
      </c>
      <c r="AA39" s="25">
        <v>1</v>
      </c>
      <c r="AB39" s="25">
        <v>1</v>
      </c>
      <c r="AC39" s="25">
        <v>1</v>
      </c>
      <c r="AD39" s="40">
        <v>0</v>
      </c>
      <c r="AE39" s="25">
        <v>1</v>
      </c>
      <c r="AF39" s="25">
        <v>1</v>
      </c>
      <c r="AG39" s="31">
        <v>1</v>
      </c>
      <c r="AI39" s="6">
        <f>SUM(C39:AG39)</f>
        <v>25</v>
      </c>
      <c r="AJ39" s="17" t="s">
        <v>6</v>
      </c>
    </row>
    <row r="40" spans="2:38" ht="30" customHeight="1" thickTop="1" thickBot="1">
      <c r="B40" s="8"/>
      <c r="C40" s="26"/>
      <c r="D40" s="27"/>
      <c r="E40" s="27"/>
      <c r="F40" s="27"/>
      <c r="G40" s="19"/>
      <c r="H40" s="27"/>
      <c r="I40" s="41"/>
      <c r="J40" s="27"/>
      <c r="K40" s="27"/>
      <c r="L40" s="27"/>
      <c r="M40" s="27"/>
      <c r="N40" s="27"/>
      <c r="O40" s="49"/>
      <c r="P40" s="41"/>
      <c r="Q40" s="27"/>
      <c r="R40" s="27"/>
      <c r="S40" s="27"/>
      <c r="T40" s="27"/>
      <c r="U40" s="27"/>
      <c r="V40" s="27"/>
      <c r="W40" s="41"/>
      <c r="X40" s="27"/>
      <c r="Y40" s="27"/>
      <c r="Z40" s="27"/>
      <c r="AA40" s="27"/>
      <c r="AB40" s="27"/>
      <c r="AC40" s="27"/>
      <c r="AD40" s="41"/>
      <c r="AE40" s="27"/>
      <c r="AF40" s="27"/>
      <c r="AG40" s="28"/>
      <c r="AI40" s="9">
        <f>SUM(C40:AG40)</f>
        <v>0</v>
      </c>
      <c r="AJ40" s="16" t="s">
        <v>7</v>
      </c>
    </row>
    <row r="41" spans="2:38" ht="14.25" customHeight="1" thickTop="1"/>
  </sheetData>
  <mergeCells count="21">
    <mergeCell ref="J14:L16"/>
    <mergeCell ref="J17:L19"/>
    <mergeCell ref="Y14:AA16"/>
    <mergeCell ref="Y17:AA19"/>
    <mergeCell ref="J2:AA5"/>
    <mergeCell ref="M8:O10"/>
    <mergeCell ref="P8:U10"/>
    <mergeCell ref="V8:X10"/>
    <mergeCell ref="M11:O13"/>
    <mergeCell ref="P11:U13"/>
    <mergeCell ref="V11:X13"/>
    <mergeCell ref="P15:R17"/>
    <mergeCell ref="S15:U17"/>
    <mergeCell ref="P18:R20"/>
    <mergeCell ref="S18:U20"/>
    <mergeCell ref="P22:U24"/>
    <mergeCell ref="P25:U27"/>
    <mergeCell ref="P29:R31"/>
    <mergeCell ref="S29:U31"/>
    <mergeCell ref="P32:R34"/>
    <mergeCell ref="S32:U34"/>
  </mergeCells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7"/>
  <sheetViews>
    <sheetView showGridLines="0" zoomScale="50" zoomScaleNormal="50" workbookViewId="0">
      <selection activeCell="C36" sqref="C36"/>
    </sheetView>
  </sheetViews>
  <sheetFormatPr defaultColWidth="9" defaultRowHeight="14.25" customHeight="1"/>
  <cols>
    <col min="1" max="1" width="5.6640625" style="1" customWidth="1"/>
    <col min="2" max="2" width="32.77734375" style="1" customWidth="1"/>
    <col min="3" max="33" width="9" style="1"/>
    <col min="34" max="34" width="5.21875" style="1" customWidth="1"/>
    <col min="35" max="35" width="12.44140625" style="1" customWidth="1"/>
    <col min="36" max="36" width="11.44140625" style="1" customWidth="1"/>
    <col min="37" max="37" width="4.44140625" style="1" customWidth="1"/>
    <col min="38" max="38" width="5.21875" style="1" customWidth="1"/>
    <col min="39" max="16384" width="9" style="1"/>
  </cols>
  <sheetData>
    <row r="1" spans="10:27" ht="14.25" customHeight="1" thickBot="1"/>
    <row r="2" spans="10:27" ht="14.25" customHeight="1" thickTop="1">
      <c r="J2" s="138" t="s">
        <v>16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</row>
    <row r="3" spans="10:27" ht="14.25" customHeight="1"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</row>
    <row r="4" spans="10:27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10:27" ht="14.25" customHeight="1" thickBot="1"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</row>
    <row r="6" spans="10:27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10:27" ht="14.25" customHeight="1" thickBo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10:27" ht="14.25" customHeight="1" thickTop="1">
      <c r="J8" s="32"/>
      <c r="K8" s="35"/>
      <c r="L8" s="35"/>
      <c r="M8" s="93" t="s">
        <v>4</v>
      </c>
      <c r="N8" s="94"/>
      <c r="O8" s="95"/>
      <c r="P8" s="93" t="s">
        <v>14</v>
      </c>
      <c r="Q8" s="94"/>
      <c r="R8" s="94"/>
      <c r="S8" s="94"/>
      <c r="T8" s="94"/>
      <c r="U8" s="95"/>
      <c r="V8" s="93" t="s">
        <v>11</v>
      </c>
      <c r="W8" s="94"/>
      <c r="X8" s="95"/>
      <c r="Y8" s="35"/>
      <c r="Z8" s="34"/>
      <c r="AA8" s="34"/>
    </row>
    <row r="9" spans="10:27" ht="14.25" customHeight="1">
      <c r="J9" s="32"/>
      <c r="K9" s="35"/>
      <c r="L9" s="35"/>
      <c r="M9" s="96"/>
      <c r="N9" s="97"/>
      <c r="O9" s="98"/>
      <c r="P9" s="96"/>
      <c r="Q9" s="97"/>
      <c r="R9" s="97"/>
      <c r="S9" s="97"/>
      <c r="T9" s="97"/>
      <c r="U9" s="98"/>
      <c r="V9" s="96"/>
      <c r="W9" s="97"/>
      <c r="X9" s="98"/>
      <c r="Y9" s="35"/>
      <c r="Z9" s="34"/>
      <c r="AA9" s="34"/>
    </row>
    <row r="10" spans="10:27" ht="14.25" customHeight="1" thickBot="1">
      <c r="J10" s="32"/>
      <c r="K10" s="35"/>
      <c r="L10" s="35"/>
      <c r="M10" s="99"/>
      <c r="N10" s="100"/>
      <c r="O10" s="101"/>
      <c r="P10" s="99"/>
      <c r="Q10" s="100"/>
      <c r="R10" s="100"/>
      <c r="S10" s="100"/>
      <c r="T10" s="100"/>
      <c r="U10" s="101"/>
      <c r="V10" s="99"/>
      <c r="W10" s="100"/>
      <c r="X10" s="101"/>
      <c r="Y10" s="35"/>
      <c r="Z10" s="34"/>
      <c r="AA10" s="34"/>
    </row>
    <row r="11" spans="10:27" ht="14.25" customHeight="1" thickTop="1">
      <c r="J11" s="32"/>
      <c r="K11" s="35"/>
      <c r="L11" s="35"/>
      <c r="M11" s="147">
        <f>SUM(AI38:AI39)</f>
        <v>57</v>
      </c>
      <c r="N11" s="148"/>
      <c r="O11" s="149"/>
      <c r="P11" s="165">
        <f>SUM('1'!S12:U14)</f>
        <v>2576.61</v>
      </c>
      <c r="Q11" s="166"/>
      <c r="R11" s="166"/>
      <c r="S11" s="166"/>
      <c r="T11" s="166"/>
      <c r="U11" s="167"/>
      <c r="V11" s="201">
        <f>SUM(P11/30)</f>
        <v>85.887</v>
      </c>
      <c r="W11" s="202"/>
      <c r="X11" s="203"/>
      <c r="Y11" s="35"/>
      <c r="Z11" s="34"/>
      <c r="AA11" s="34"/>
    </row>
    <row r="12" spans="10:27" ht="14.25" customHeight="1">
      <c r="J12" s="32"/>
      <c r="K12" s="35"/>
      <c r="L12" s="35"/>
      <c r="M12" s="150"/>
      <c r="N12" s="151"/>
      <c r="O12" s="152"/>
      <c r="P12" s="168"/>
      <c r="Q12" s="169"/>
      <c r="R12" s="169"/>
      <c r="S12" s="169"/>
      <c r="T12" s="169"/>
      <c r="U12" s="170"/>
      <c r="V12" s="204"/>
      <c r="W12" s="205"/>
      <c r="X12" s="206"/>
      <c r="Y12" s="35"/>
      <c r="Z12" s="34"/>
      <c r="AA12" s="34"/>
    </row>
    <row r="13" spans="10:27" ht="14.25" customHeight="1" thickBot="1">
      <c r="J13" s="32"/>
      <c r="K13" s="35"/>
      <c r="L13" s="35"/>
      <c r="M13" s="153"/>
      <c r="N13" s="154"/>
      <c r="O13" s="155"/>
      <c r="P13" s="171"/>
      <c r="Q13" s="172"/>
      <c r="R13" s="172"/>
      <c r="S13" s="172"/>
      <c r="T13" s="172"/>
      <c r="U13" s="173"/>
      <c r="V13" s="207"/>
      <c r="W13" s="208"/>
      <c r="X13" s="209"/>
      <c r="Y13" s="35"/>
      <c r="Z13" s="34"/>
      <c r="AA13" s="34"/>
    </row>
    <row r="14" spans="10:27" ht="14.25" customHeight="1" thickTop="1" thickBot="1">
      <c r="J14" s="174" t="s">
        <v>27</v>
      </c>
      <c r="K14" s="175"/>
      <c r="L14" s="176"/>
      <c r="M14" s="33"/>
      <c r="N14" s="33"/>
      <c r="O14" s="33"/>
      <c r="P14" s="33"/>
      <c r="Q14" s="33"/>
      <c r="R14" s="33"/>
      <c r="S14" s="33"/>
      <c r="T14" s="35"/>
      <c r="U14" s="35"/>
      <c r="V14" s="35"/>
      <c r="W14" s="35"/>
      <c r="X14" s="35"/>
      <c r="Y14" s="93" t="s">
        <v>28</v>
      </c>
      <c r="Z14" s="94"/>
      <c r="AA14" s="95"/>
    </row>
    <row r="15" spans="10:27" ht="14.25" customHeight="1" thickTop="1">
      <c r="J15" s="177"/>
      <c r="K15" s="178"/>
      <c r="L15" s="179"/>
      <c r="M15" s="33"/>
      <c r="N15" s="33"/>
      <c r="O15" s="33"/>
      <c r="P15" s="93" t="s">
        <v>12</v>
      </c>
      <c r="Q15" s="94"/>
      <c r="R15" s="95"/>
      <c r="S15" s="93" t="s">
        <v>13</v>
      </c>
      <c r="T15" s="94"/>
      <c r="U15" s="95"/>
      <c r="V15" s="35"/>
      <c r="W15" s="35"/>
      <c r="X15" s="35"/>
      <c r="Y15" s="96"/>
      <c r="Z15" s="97"/>
      <c r="AA15" s="98"/>
    </row>
    <row r="16" spans="10:27" ht="14.25" customHeight="1" thickBot="1">
      <c r="J16" s="180"/>
      <c r="K16" s="181"/>
      <c r="L16" s="182"/>
      <c r="M16" s="33"/>
      <c r="N16" s="33"/>
      <c r="O16" s="33"/>
      <c r="P16" s="96"/>
      <c r="Q16" s="97"/>
      <c r="R16" s="98"/>
      <c r="S16" s="96"/>
      <c r="T16" s="97"/>
      <c r="U16" s="98"/>
      <c r="V16" s="35"/>
      <c r="W16" s="35"/>
      <c r="X16" s="35"/>
      <c r="Y16" s="99"/>
      <c r="Z16" s="100"/>
      <c r="AA16" s="101"/>
    </row>
    <row r="17" spans="10:27" ht="14.25" customHeight="1" thickTop="1" thickBot="1">
      <c r="J17" s="183">
        <f>SUM('1'!AI37+'2'!AI36+'3'!AI36+'4'!AI36+'5'!AI36+'6'!AI36+'7'!AI36+'8'!AI36+'9'!AI36+'10'!AI36+'11'!AI36+'12'!AI36)</f>
        <v>0</v>
      </c>
      <c r="K17" s="184"/>
      <c r="L17" s="185"/>
      <c r="M17" s="33"/>
      <c r="N17" s="33"/>
      <c r="O17" s="33"/>
      <c r="P17" s="99"/>
      <c r="Q17" s="100"/>
      <c r="R17" s="101"/>
      <c r="S17" s="99"/>
      <c r="T17" s="100"/>
      <c r="U17" s="101"/>
      <c r="V17" s="35"/>
      <c r="W17" s="35"/>
      <c r="X17" s="35"/>
      <c r="Y17" s="192">
        <f>SUM(30-J17)</f>
        <v>30</v>
      </c>
      <c r="Z17" s="193"/>
      <c r="AA17" s="194"/>
    </row>
    <row r="18" spans="10:27" ht="14.25" customHeight="1" thickTop="1">
      <c r="J18" s="186"/>
      <c r="K18" s="187"/>
      <c r="L18" s="188"/>
      <c r="M18" s="33"/>
      <c r="N18" s="33"/>
      <c r="O18" s="33"/>
      <c r="P18" s="102">
        <f>(M11*V11)+AI40</f>
        <v>4895.5590000000002</v>
      </c>
      <c r="Q18" s="103"/>
      <c r="R18" s="104"/>
      <c r="S18" s="111">
        <f>SUM(P18+P11)</f>
        <v>7472.1689999999999</v>
      </c>
      <c r="T18" s="112"/>
      <c r="U18" s="113"/>
      <c r="V18" s="35"/>
      <c r="W18" s="35"/>
      <c r="X18" s="35"/>
      <c r="Y18" s="195"/>
      <c r="Z18" s="196"/>
      <c r="AA18" s="197"/>
    </row>
    <row r="19" spans="10:27" ht="14.25" customHeight="1" thickBot="1">
      <c r="J19" s="189"/>
      <c r="K19" s="190"/>
      <c r="L19" s="191"/>
      <c r="M19" s="33"/>
      <c r="N19" s="33"/>
      <c r="O19" s="33"/>
      <c r="P19" s="105"/>
      <c r="Q19" s="106"/>
      <c r="R19" s="107"/>
      <c r="S19" s="114"/>
      <c r="T19" s="115"/>
      <c r="U19" s="116"/>
      <c r="V19" s="35"/>
      <c r="W19" s="35"/>
      <c r="X19" s="35"/>
      <c r="Y19" s="198"/>
      <c r="Z19" s="199"/>
      <c r="AA19" s="200"/>
    </row>
    <row r="20" spans="10:27" ht="14.25" customHeight="1" thickTop="1" thickBot="1">
      <c r="J20" s="18"/>
      <c r="K20" s="33"/>
      <c r="L20" s="33"/>
      <c r="M20" s="33"/>
      <c r="N20" s="33"/>
      <c r="O20" s="33"/>
      <c r="P20" s="108"/>
      <c r="Q20" s="109"/>
      <c r="R20" s="110"/>
      <c r="S20" s="117"/>
      <c r="T20" s="118"/>
      <c r="U20" s="119"/>
      <c r="V20" s="35"/>
      <c r="W20" s="35"/>
      <c r="X20" s="35"/>
      <c r="Y20" s="35"/>
      <c r="Z20" s="34"/>
      <c r="AA20" s="34"/>
    </row>
    <row r="21" spans="10:27" ht="14.25" customHeight="1" thickTop="1" thickBot="1"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5"/>
      <c r="U21" s="35"/>
      <c r="V21" s="35"/>
      <c r="W21" s="35"/>
      <c r="X21" s="35"/>
      <c r="Y21" s="35"/>
      <c r="Z21" s="34"/>
      <c r="AA21" s="34"/>
    </row>
    <row r="22" spans="10:27" ht="14.25" customHeight="1" thickTop="1">
      <c r="J22" s="18"/>
      <c r="K22" s="33"/>
      <c r="L22" s="33"/>
      <c r="M22" s="33"/>
      <c r="N22" s="33"/>
      <c r="O22" s="33"/>
      <c r="P22" s="93" t="s">
        <v>8</v>
      </c>
      <c r="Q22" s="94"/>
      <c r="R22" s="94"/>
      <c r="S22" s="94"/>
      <c r="T22" s="94"/>
      <c r="U22" s="95"/>
      <c r="V22" s="35"/>
      <c r="W22" s="35"/>
      <c r="X22" s="35"/>
      <c r="Y22" s="35"/>
      <c r="Z22" s="34"/>
      <c r="AA22" s="34"/>
    </row>
    <row r="23" spans="10:27" ht="14.25" customHeight="1">
      <c r="J23" s="18"/>
      <c r="K23" s="33"/>
      <c r="L23" s="33"/>
      <c r="M23" s="33"/>
      <c r="N23" s="33"/>
      <c r="O23" s="33"/>
      <c r="P23" s="96"/>
      <c r="Q23" s="97"/>
      <c r="R23" s="97"/>
      <c r="S23" s="97"/>
      <c r="T23" s="97"/>
      <c r="U23" s="98"/>
      <c r="V23" s="35"/>
      <c r="W23" s="35"/>
      <c r="X23" s="35"/>
      <c r="Y23" s="35"/>
      <c r="Z23" s="34"/>
      <c r="AA23" s="34"/>
    </row>
    <row r="24" spans="10:27" ht="14.25" customHeight="1" thickBot="1">
      <c r="J24" s="18"/>
      <c r="K24" s="33"/>
      <c r="L24" s="33"/>
      <c r="M24" s="33"/>
      <c r="N24" s="33"/>
      <c r="O24" s="33"/>
      <c r="P24" s="99"/>
      <c r="Q24" s="100"/>
      <c r="R24" s="100"/>
      <c r="S24" s="100"/>
      <c r="T24" s="100"/>
      <c r="U24" s="101"/>
      <c r="V24" s="35"/>
      <c r="W24" s="35"/>
      <c r="X24" s="35"/>
      <c r="Y24" s="35"/>
      <c r="Z24" s="34"/>
      <c r="AA24" s="34"/>
    </row>
    <row r="25" spans="10:27" ht="14.25" customHeight="1" thickTop="1">
      <c r="J25" s="18"/>
      <c r="K25" s="33"/>
      <c r="L25" s="33"/>
      <c r="M25" s="33"/>
      <c r="N25" s="33"/>
      <c r="O25" s="33"/>
      <c r="P25" s="120">
        <v>1000</v>
      </c>
      <c r="Q25" s="121"/>
      <c r="R25" s="121"/>
      <c r="S25" s="121"/>
      <c r="T25" s="121"/>
      <c r="U25" s="122"/>
      <c r="V25" s="35"/>
      <c r="W25" s="35"/>
      <c r="X25" s="35"/>
      <c r="Y25" s="35"/>
      <c r="Z25" s="34"/>
      <c r="AA25" s="34"/>
    </row>
    <row r="26" spans="10:27" ht="14.25" customHeight="1">
      <c r="J26" s="18"/>
      <c r="K26" s="33"/>
      <c r="L26" s="33"/>
      <c r="M26" s="33"/>
      <c r="N26" s="33"/>
      <c r="O26" s="33"/>
      <c r="P26" s="123"/>
      <c r="Q26" s="124"/>
      <c r="R26" s="124"/>
      <c r="S26" s="124"/>
      <c r="T26" s="124"/>
      <c r="U26" s="125"/>
      <c r="V26" s="35"/>
      <c r="W26" s="35"/>
      <c r="X26" s="35"/>
      <c r="Y26" s="35"/>
      <c r="Z26" s="34"/>
      <c r="AA26" s="34"/>
    </row>
    <row r="27" spans="10:27" ht="14.25" customHeight="1" thickBot="1">
      <c r="J27" s="18"/>
      <c r="K27" s="33"/>
      <c r="L27" s="33"/>
      <c r="M27" s="33"/>
      <c r="N27" s="33"/>
      <c r="O27" s="33"/>
      <c r="P27" s="126"/>
      <c r="Q27" s="127"/>
      <c r="R27" s="127"/>
      <c r="S27" s="127"/>
      <c r="T27" s="127"/>
      <c r="U27" s="128"/>
      <c r="V27" s="35"/>
      <c r="W27" s="35"/>
      <c r="X27" s="35"/>
      <c r="Y27" s="35"/>
      <c r="Z27" s="34"/>
      <c r="AA27" s="34"/>
    </row>
    <row r="28" spans="10:27" ht="14.25" customHeight="1" thickTop="1" thickBot="1"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5"/>
      <c r="U28" s="35"/>
      <c r="V28" s="35"/>
      <c r="W28" s="35"/>
      <c r="X28" s="35"/>
      <c r="Y28" s="35"/>
      <c r="Z28" s="34"/>
      <c r="AA28" s="34"/>
    </row>
    <row r="29" spans="10:27" ht="14.25" customHeight="1" thickTop="1">
      <c r="J29" s="18"/>
      <c r="K29" s="33"/>
      <c r="L29" s="33"/>
      <c r="M29" s="33"/>
      <c r="N29" s="33"/>
      <c r="O29" s="33"/>
      <c r="P29" s="93" t="s">
        <v>12</v>
      </c>
      <c r="Q29" s="94"/>
      <c r="R29" s="95"/>
      <c r="S29" s="93" t="s">
        <v>13</v>
      </c>
      <c r="T29" s="94"/>
      <c r="U29" s="95"/>
      <c r="V29" s="35"/>
      <c r="W29" s="35"/>
      <c r="X29" s="35"/>
      <c r="Y29" s="35"/>
      <c r="Z29" s="34"/>
      <c r="AA29" s="34"/>
    </row>
    <row r="30" spans="10:27" ht="14.25" customHeight="1">
      <c r="J30" s="18"/>
      <c r="K30" s="33"/>
      <c r="L30" s="33"/>
      <c r="M30" s="33"/>
      <c r="N30" s="33"/>
      <c r="O30" s="33"/>
      <c r="P30" s="96"/>
      <c r="Q30" s="97"/>
      <c r="R30" s="98"/>
      <c r="S30" s="96"/>
      <c r="T30" s="97"/>
      <c r="U30" s="98"/>
      <c r="V30" s="35"/>
      <c r="W30" s="35"/>
      <c r="X30" s="35"/>
      <c r="Y30" s="35"/>
      <c r="Z30" s="34"/>
      <c r="AA30" s="34"/>
    </row>
    <row r="31" spans="10:27" ht="14.25" customHeight="1" thickBot="1">
      <c r="J31" s="18"/>
      <c r="K31" s="33"/>
      <c r="L31" s="33"/>
      <c r="M31" s="33"/>
      <c r="N31" s="33"/>
      <c r="O31" s="33"/>
      <c r="P31" s="99"/>
      <c r="Q31" s="100"/>
      <c r="R31" s="101"/>
      <c r="S31" s="99"/>
      <c r="T31" s="100"/>
      <c r="U31" s="101"/>
      <c r="V31" s="35"/>
      <c r="W31" s="35"/>
      <c r="X31" s="35"/>
      <c r="Y31" s="35"/>
      <c r="Z31" s="34"/>
      <c r="AA31" s="34"/>
    </row>
    <row r="32" spans="10:27" ht="14.25" customHeight="1" thickTop="1">
      <c r="J32" s="18"/>
      <c r="K32" s="33"/>
      <c r="L32" s="33"/>
      <c r="M32" s="33"/>
      <c r="N32" s="33"/>
      <c r="O32" s="33"/>
      <c r="P32" s="102">
        <f>SUM(P18-P25)</f>
        <v>3895.5590000000002</v>
      </c>
      <c r="Q32" s="103"/>
      <c r="R32" s="104"/>
      <c r="S32" s="111">
        <f>SUM(S18-P25)</f>
        <v>6472.1689999999999</v>
      </c>
      <c r="T32" s="112"/>
      <c r="U32" s="113"/>
      <c r="V32" s="35"/>
      <c r="W32" s="35"/>
      <c r="X32" s="35"/>
      <c r="Y32" s="35"/>
      <c r="Z32" s="34"/>
      <c r="AA32" s="34"/>
    </row>
    <row r="33" spans="2:38" ht="14.25" customHeight="1">
      <c r="J33" s="18"/>
      <c r="K33" s="33"/>
      <c r="L33" s="33"/>
      <c r="M33" s="33"/>
      <c r="N33" s="33"/>
      <c r="O33" s="33"/>
      <c r="P33" s="105"/>
      <c r="Q33" s="106"/>
      <c r="R33" s="107"/>
      <c r="S33" s="114"/>
      <c r="T33" s="115"/>
      <c r="U33" s="116"/>
      <c r="V33" s="35"/>
      <c r="W33" s="35"/>
      <c r="X33" s="35"/>
      <c r="Y33" s="35"/>
      <c r="Z33" s="34"/>
      <c r="AA33" s="34"/>
    </row>
    <row r="34" spans="2:38" ht="14.25" customHeight="1" thickBot="1">
      <c r="J34" s="18"/>
      <c r="K34" s="33"/>
      <c r="L34" s="33"/>
      <c r="M34" s="33"/>
      <c r="N34" s="33"/>
      <c r="O34" s="33"/>
      <c r="P34" s="108"/>
      <c r="Q34" s="109"/>
      <c r="R34" s="110"/>
      <c r="S34" s="117"/>
      <c r="T34" s="118"/>
      <c r="U34" s="119"/>
      <c r="V34" s="35"/>
      <c r="W34" s="35"/>
      <c r="X34" s="35"/>
      <c r="Y34" s="35"/>
      <c r="Z34" s="34"/>
      <c r="AA34" s="34"/>
    </row>
    <row r="35" spans="2:38" ht="14.25" customHeight="1" thickTop="1" thickBot="1"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38" ht="30" customHeight="1" thickTop="1" thickBo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I36" s="13">
        <f>SUM(C36:AG36)</f>
        <v>0</v>
      </c>
      <c r="AJ36" s="15" t="s">
        <v>5</v>
      </c>
    </row>
    <row r="37" spans="2:38" ht="30" customHeight="1" thickTop="1" thickBot="1">
      <c r="B37" s="2" t="s">
        <v>0</v>
      </c>
      <c r="C37" s="20">
        <v>27</v>
      </c>
      <c r="D37" s="21">
        <v>28</v>
      </c>
      <c r="E37" s="21">
        <v>29</v>
      </c>
      <c r="F37" s="38">
        <v>30</v>
      </c>
      <c r="G37" s="21">
        <v>31</v>
      </c>
      <c r="H37" s="21">
        <v>1</v>
      </c>
      <c r="I37" s="21">
        <v>2</v>
      </c>
      <c r="J37" s="21">
        <v>3</v>
      </c>
      <c r="K37" s="21">
        <v>4</v>
      </c>
      <c r="L37" s="21">
        <v>5</v>
      </c>
      <c r="M37" s="38">
        <v>6</v>
      </c>
      <c r="N37" s="21">
        <v>7</v>
      </c>
      <c r="O37" s="21">
        <v>8</v>
      </c>
      <c r="P37" s="21">
        <v>9</v>
      </c>
      <c r="Q37" s="21">
        <v>10</v>
      </c>
      <c r="R37" s="21">
        <v>11</v>
      </c>
      <c r="S37" s="21">
        <v>12</v>
      </c>
      <c r="T37" s="38">
        <v>13</v>
      </c>
      <c r="U37" s="21">
        <v>14</v>
      </c>
      <c r="V37" s="21">
        <v>15</v>
      </c>
      <c r="W37" s="21">
        <v>16</v>
      </c>
      <c r="X37" s="21">
        <v>17</v>
      </c>
      <c r="Y37" s="21">
        <v>18</v>
      </c>
      <c r="Z37" s="21">
        <v>19</v>
      </c>
      <c r="AA37" s="38">
        <v>20</v>
      </c>
      <c r="AB37" s="21">
        <v>21</v>
      </c>
      <c r="AC37" s="21">
        <v>22</v>
      </c>
      <c r="AD37" s="21">
        <v>23</v>
      </c>
      <c r="AE37" s="21">
        <v>24</v>
      </c>
      <c r="AF37" s="21">
        <v>25</v>
      </c>
      <c r="AG37" s="21">
        <v>26</v>
      </c>
      <c r="AL37" s="5"/>
    </row>
    <row r="38" spans="2:38" ht="30" customHeight="1" thickTop="1" thickBot="1">
      <c r="B38" s="3" t="s">
        <v>1</v>
      </c>
      <c r="C38" s="22">
        <v>1</v>
      </c>
      <c r="D38" s="23">
        <v>1</v>
      </c>
      <c r="E38" s="23">
        <v>1</v>
      </c>
      <c r="F38" s="39">
        <v>1</v>
      </c>
      <c r="G38" s="23">
        <v>0</v>
      </c>
      <c r="H38" s="23">
        <v>1</v>
      </c>
      <c r="I38" s="23">
        <v>1</v>
      </c>
      <c r="J38" s="23">
        <v>1</v>
      </c>
      <c r="K38" s="23">
        <v>1</v>
      </c>
      <c r="L38" s="23">
        <v>1</v>
      </c>
      <c r="M38" s="39">
        <v>1</v>
      </c>
      <c r="N38" s="23">
        <v>1</v>
      </c>
      <c r="O38" s="23">
        <v>1</v>
      </c>
      <c r="P38" s="23">
        <v>1</v>
      </c>
      <c r="Q38" s="23">
        <v>1</v>
      </c>
      <c r="R38" s="23">
        <v>1</v>
      </c>
      <c r="S38" s="23">
        <v>1</v>
      </c>
      <c r="T38" s="39">
        <v>1</v>
      </c>
      <c r="U38" s="23">
        <v>1</v>
      </c>
      <c r="V38" s="23">
        <v>1</v>
      </c>
      <c r="W38" s="23">
        <v>1</v>
      </c>
      <c r="X38" s="23">
        <v>1</v>
      </c>
      <c r="Y38" s="23">
        <v>1</v>
      </c>
      <c r="Z38" s="23">
        <v>1</v>
      </c>
      <c r="AA38" s="39">
        <v>1</v>
      </c>
      <c r="AB38" s="23">
        <v>1</v>
      </c>
      <c r="AC38" s="23">
        <v>1</v>
      </c>
      <c r="AD38" s="23">
        <v>1</v>
      </c>
      <c r="AE38" s="23">
        <v>1</v>
      </c>
      <c r="AF38" s="23">
        <v>1</v>
      </c>
      <c r="AG38" s="23">
        <v>1</v>
      </c>
      <c r="AI38" s="4">
        <f>SUM(C38:AG38)</f>
        <v>30</v>
      </c>
      <c r="AJ38" s="15" t="s">
        <v>3</v>
      </c>
    </row>
    <row r="39" spans="2:38" ht="30" customHeight="1" thickTop="1" thickBot="1">
      <c r="B39" s="7" t="s">
        <v>2</v>
      </c>
      <c r="C39" s="24">
        <v>1</v>
      </c>
      <c r="D39" s="25">
        <v>1</v>
      </c>
      <c r="E39" s="25">
        <v>1</v>
      </c>
      <c r="F39" s="40">
        <v>0</v>
      </c>
      <c r="G39" s="25">
        <v>1</v>
      </c>
      <c r="H39" s="25">
        <v>1</v>
      </c>
      <c r="I39" s="25">
        <v>1</v>
      </c>
      <c r="J39" s="25">
        <v>1</v>
      </c>
      <c r="K39" s="25">
        <v>1</v>
      </c>
      <c r="L39" s="25">
        <v>1</v>
      </c>
      <c r="M39" s="40">
        <v>0</v>
      </c>
      <c r="N39" s="25">
        <v>1</v>
      </c>
      <c r="O39" s="25">
        <v>1</v>
      </c>
      <c r="P39" s="25">
        <v>1</v>
      </c>
      <c r="Q39" s="25">
        <v>1</v>
      </c>
      <c r="R39" s="25">
        <v>1</v>
      </c>
      <c r="S39" s="25">
        <v>1</v>
      </c>
      <c r="T39" s="40">
        <v>0</v>
      </c>
      <c r="U39" s="25">
        <v>1</v>
      </c>
      <c r="V39" s="25">
        <v>1</v>
      </c>
      <c r="W39" s="25">
        <v>1</v>
      </c>
      <c r="X39" s="25">
        <v>1</v>
      </c>
      <c r="Y39" s="25">
        <v>1</v>
      </c>
      <c r="Z39" s="25">
        <v>1</v>
      </c>
      <c r="AA39" s="40">
        <v>0</v>
      </c>
      <c r="AB39" s="25">
        <v>1</v>
      </c>
      <c r="AC39" s="25">
        <v>1</v>
      </c>
      <c r="AD39" s="25">
        <v>1</v>
      </c>
      <c r="AE39" s="25">
        <v>1</v>
      </c>
      <c r="AF39" s="25">
        <v>1</v>
      </c>
      <c r="AG39" s="25">
        <v>1</v>
      </c>
      <c r="AI39" s="6">
        <f>SUM(C39:AG39)</f>
        <v>27</v>
      </c>
      <c r="AJ39" s="17" t="s">
        <v>6</v>
      </c>
    </row>
    <row r="40" spans="2:38" ht="30" customHeight="1" thickTop="1" thickBot="1">
      <c r="B40" s="8"/>
      <c r="C40" s="26"/>
      <c r="D40" s="27"/>
      <c r="E40" s="27"/>
      <c r="F40" s="41"/>
      <c r="G40" s="27"/>
      <c r="H40" s="27"/>
      <c r="I40" s="27"/>
      <c r="J40" s="27"/>
      <c r="K40" s="27"/>
      <c r="L40" s="27"/>
      <c r="M40" s="41"/>
      <c r="N40" s="27"/>
      <c r="O40" s="27"/>
      <c r="P40" s="27"/>
      <c r="Q40" s="27"/>
      <c r="R40" s="27"/>
      <c r="S40" s="27"/>
      <c r="T40" s="41"/>
      <c r="U40" s="27"/>
      <c r="V40" s="27"/>
      <c r="W40" s="27"/>
      <c r="X40" s="27"/>
      <c r="Y40" s="27"/>
      <c r="Z40" s="27"/>
      <c r="AA40" s="41"/>
      <c r="AB40" s="27"/>
      <c r="AC40" s="27"/>
      <c r="AD40" s="27"/>
      <c r="AE40" s="27"/>
      <c r="AF40" s="27"/>
      <c r="AG40" s="27"/>
      <c r="AI40" s="9">
        <f>SUM(C40:AG40)</f>
        <v>0</v>
      </c>
      <c r="AJ40" s="16" t="s">
        <v>7</v>
      </c>
    </row>
    <row r="41" spans="2:38" ht="30" customHeight="1" thickTop="1"/>
    <row r="42" spans="2:38" ht="30" customHeight="1"/>
    <row r="43" spans="2:38" ht="30" customHeight="1"/>
    <row r="44" spans="2:38" ht="30" customHeight="1"/>
    <row r="45" spans="2:38" ht="30" customHeight="1"/>
    <row r="46" spans="2:38" ht="30" customHeight="1"/>
    <row r="47" spans="2:38" ht="30" customHeight="1"/>
  </sheetData>
  <mergeCells count="21">
    <mergeCell ref="J14:L16"/>
    <mergeCell ref="J17:L19"/>
    <mergeCell ref="Y14:AA16"/>
    <mergeCell ref="Y17:AA19"/>
    <mergeCell ref="J2:AA5"/>
    <mergeCell ref="M8:O10"/>
    <mergeCell ref="P8:U10"/>
    <mergeCell ref="V8:X10"/>
    <mergeCell ref="M11:O13"/>
    <mergeCell ref="P11:U13"/>
    <mergeCell ref="V11:X13"/>
    <mergeCell ref="P15:R17"/>
    <mergeCell ref="S15:U17"/>
    <mergeCell ref="P18:R20"/>
    <mergeCell ref="S18:U20"/>
    <mergeCell ref="P22:U24"/>
    <mergeCell ref="P25:U27"/>
    <mergeCell ref="P29:R31"/>
    <mergeCell ref="S29:U31"/>
    <mergeCell ref="P32:R34"/>
    <mergeCell ref="S32:U34"/>
  </mergeCells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298"/>
  <sheetViews>
    <sheetView showGridLines="0" zoomScale="50" zoomScaleNormal="50" workbookViewId="0">
      <selection activeCell="D36" sqref="D36"/>
    </sheetView>
  </sheetViews>
  <sheetFormatPr defaultColWidth="9" defaultRowHeight="14.25" customHeight="1"/>
  <cols>
    <col min="1" max="1" width="5.6640625" style="1" customWidth="1"/>
    <col min="2" max="2" width="32.77734375" style="1" customWidth="1"/>
    <col min="3" max="33" width="9" style="1"/>
    <col min="34" max="34" width="5.21875" style="1" customWidth="1"/>
    <col min="35" max="35" width="12.44140625" style="1" customWidth="1"/>
    <col min="36" max="36" width="11.44140625" style="1" customWidth="1"/>
    <col min="37" max="37" width="4.44140625" style="1" customWidth="1"/>
    <col min="38" max="38" width="5.21875" style="1" customWidth="1"/>
    <col min="39" max="16384" width="9" style="1"/>
  </cols>
  <sheetData>
    <row r="1" spans="10:27" ht="14.25" customHeight="1" thickBot="1"/>
    <row r="2" spans="10:27" ht="14.25" customHeight="1" thickTop="1">
      <c r="J2" s="138" t="s">
        <v>15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40"/>
    </row>
    <row r="3" spans="10:27" ht="14.25" customHeight="1">
      <c r="J3" s="141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3"/>
    </row>
    <row r="4" spans="10:27" ht="14.25" customHeight="1">
      <c r="J4" s="141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3"/>
    </row>
    <row r="5" spans="10:27" ht="14.25" customHeight="1" thickBot="1">
      <c r="J5" s="144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6"/>
    </row>
    <row r="6" spans="10:27" ht="14.25" customHeight="1" thickTop="1">
      <c r="J6" s="18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</row>
    <row r="7" spans="10:27" ht="14.25" customHeight="1" thickBot="1">
      <c r="J7" s="18"/>
      <c r="K7" s="33"/>
      <c r="L7" s="33"/>
      <c r="M7" s="33"/>
      <c r="N7" s="33"/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</row>
    <row r="8" spans="10:27" ht="14.25" customHeight="1" thickTop="1">
      <c r="J8" s="32"/>
      <c r="K8" s="35"/>
      <c r="L8" s="35"/>
      <c r="M8" s="93" t="s">
        <v>4</v>
      </c>
      <c r="N8" s="94"/>
      <c r="O8" s="95"/>
      <c r="P8" s="93" t="s">
        <v>14</v>
      </c>
      <c r="Q8" s="94"/>
      <c r="R8" s="94"/>
      <c r="S8" s="94"/>
      <c r="T8" s="94"/>
      <c r="U8" s="95"/>
      <c r="V8" s="93" t="s">
        <v>11</v>
      </c>
      <c r="W8" s="94"/>
      <c r="X8" s="95"/>
      <c r="Y8" s="35"/>
      <c r="Z8" s="34"/>
      <c r="AA8" s="34"/>
    </row>
    <row r="9" spans="10:27" ht="14.25" customHeight="1">
      <c r="J9" s="32"/>
      <c r="K9" s="35"/>
      <c r="L9" s="35"/>
      <c r="M9" s="96"/>
      <c r="N9" s="97"/>
      <c r="O9" s="98"/>
      <c r="P9" s="96"/>
      <c r="Q9" s="97"/>
      <c r="R9" s="97"/>
      <c r="S9" s="97"/>
      <c r="T9" s="97"/>
      <c r="U9" s="98"/>
      <c r="V9" s="96"/>
      <c r="W9" s="97"/>
      <c r="X9" s="98"/>
      <c r="Y9" s="35"/>
      <c r="Z9" s="34"/>
      <c r="AA9" s="34"/>
    </row>
    <row r="10" spans="10:27" ht="14.25" customHeight="1" thickBot="1">
      <c r="J10" s="32"/>
      <c r="K10" s="35"/>
      <c r="L10" s="35"/>
      <c r="M10" s="99"/>
      <c r="N10" s="100"/>
      <c r="O10" s="101"/>
      <c r="P10" s="99"/>
      <c r="Q10" s="100"/>
      <c r="R10" s="100"/>
      <c r="S10" s="100"/>
      <c r="T10" s="100"/>
      <c r="U10" s="101"/>
      <c r="V10" s="99"/>
      <c r="W10" s="100"/>
      <c r="X10" s="101"/>
      <c r="Y10" s="35"/>
      <c r="Z10" s="34"/>
      <c r="AA10" s="34"/>
    </row>
    <row r="11" spans="10:27" ht="14.25" customHeight="1" thickTop="1">
      <c r="J11" s="32"/>
      <c r="K11" s="35"/>
      <c r="L11" s="35"/>
      <c r="M11" s="147">
        <f>SUM(AI38:AI39)</f>
        <v>70</v>
      </c>
      <c r="N11" s="148"/>
      <c r="O11" s="149"/>
      <c r="P11" s="165">
        <f>SUM('1'!S12:U14)</f>
        <v>2576.61</v>
      </c>
      <c r="Q11" s="166"/>
      <c r="R11" s="166"/>
      <c r="S11" s="166"/>
      <c r="T11" s="166"/>
      <c r="U11" s="167"/>
      <c r="V11" s="201">
        <f>SUM(P11/30)</f>
        <v>85.887</v>
      </c>
      <c r="W11" s="202"/>
      <c r="X11" s="203"/>
      <c r="Y11" s="35"/>
      <c r="Z11" s="34"/>
      <c r="AA11" s="34"/>
    </row>
    <row r="12" spans="10:27" ht="14.25" customHeight="1">
      <c r="J12" s="32"/>
      <c r="K12" s="35"/>
      <c r="L12" s="35"/>
      <c r="M12" s="150"/>
      <c r="N12" s="151"/>
      <c r="O12" s="152"/>
      <c r="P12" s="168"/>
      <c r="Q12" s="169"/>
      <c r="R12" s="169"/>
      <c r="S12" s="169"/>
      <c r="T12" s="169"/>
      <c r="U12" s="170"/>
      <c r="V12" s="204"/>
      <c r="W12" s="205"/>
      <c r="X12" s="206"/>
      <c r="Y12" s="35"/>
      <c r="Z12" s="34"/>
      <c r="AA12" s="34"/>
    </row>
    <row r="13" spans="10:27" ht="12.75" customHeight="1" thickBot="1">
      <c r="J13" s="32"/>
      <c r="K13" s="35"/>
      <c r="L13" s="35"/>
      <c r="M13" s="153"/>
      <c r="N13" s="154"/>
      <c r="O13" s="155"/>
      <c r="P13" s="171"/>
      <c r="Q13" s="172"/>
      <c r="R13" s="172"/>
      <c r="S13" s="172"/>
      <c r="T13" s="172"/>
      <c r="U13" s="173"/>
      <c r="V13" s="207"/>
      <c r="W13" s="208"/>
      <c r="X13" s="209"/>
      <c r="Y13" s="35"/>
      <c r="Z13" s="34"/>
      <c r="AA13" s="34"/>
    </row>
    <row r="14" spans="10:27" ht="14.25" customHeight="1" thickTop="1" thickBot="1">
      <c r="J14" s="174" t="s">
        <v>27</v>
      </c>
      <c r="K14" s="175"/>
      <c r="L14" s="176"/>
      <c r="M14" s="33"/>
      <c r="N14" s="33"/>
      <c r="O14" s="33"/>
      <c r="P14" s="33"/>
      <c r="Q14" s="33"/>
      <c r="R14" s="33"/>
      <c r="S14" s="33"/>
      <c r="T14" s="35"/>
      <c r="U14" s="35"/>
      <c r="V14" s="35"/>
      <c r="W14" s="35"/>
      <c r="X14" s="35"/>
      <c r="Y14" s="93" t="s">
        <v>28</v>
      </c>
      <c r="Z14" s="94"/>
      <c r="AA14" s="95"/>
    </row>
    <row r="15" spans="10:27" ht="14.25" customHeight="1" thickTop="1">
      <c r="J15" s="177"/>
      <c r="K15" s="178"/>
      <c r="L15" s="179"/>
      <c r="M15" s="33"/>
      <c r="N15" s="33"/>
      <c r="O15" s="33"/>
      <c r="P15" s="93" t="s">
        <v>12</v>
      </c>
      <c r="Q15" s="94"/>
      <c r="R15" s="95"/>
      <c r="S15" s="93" t="s">
        <v>13</v>
      </c>
      <c r="T15" s="94"/>
      <c r="U15" s="95"/>
      <c r="V15" s="35"/>
      <c r="W15" s="35"/>
      <c r="X15" s="35"/>
      <c r="Y15" s="96"/>
      <c r="Z15" s="97"/>
      <c r="AA15" s="98"/>
    </row>
    <row r="16" spans="10:27" ht="14.25" customHeight="1" thickBot="1">
      <c r="J16" s="180"/>
      <c r="K16" s="181"/>
      <c r="L16" s="182"/>
      <c r="M16" s="33"/>
      <c r="N16" s="33"/>
      <c r="O16" s="33"/>
      <c r="P16" s="96"/>
      <c r="Q16" s="97"/>
      <c r="R16" s="98"/>
      <c r="S16" s="96"/>
      <c r="T16" s="97"/>
      <c r="U16" s="98"/>
      <c r="V16" s="35"/>
      <c r="W16" s="35"/>
      <c r="X16" s="35"/>
      <c r="Y16" s="99"/>
      <c r="Z16" s="100"/>
      <c r="AA16" s="101"/>
    </row>
    <row r="17" spans="10:27" ht="14.25" customHeight="1" thickTop="1" thickBot="1">
      <c r="J17" s="183">
        <f>SUM('1'!AI37+'2'!AI36+'3'!AI36+'4'!AI36+'5'!AI36+'6'!AI36+'7'!AI36+'8'!AI36+'9'!AI36+'10'!AI36+'11'!AI36+'12'!AI36)</f>
        <v>0</v>
      </c>
      <c r="K17" s="184"/>
      <c r="L17" s="185"/>
      <c r="M17" s="33"/>
      <c r="N17" s="33"/>
      <c r="O17" s="33"/>
      <c r="P17" s="99"/>
      <c r="Q17" s="100"/>
      <c r="R17" s="101"/>
      <c r="S17" s="99"/>
      <c r="T17" s="100"/>
      <c r="U17" s="101"/>
      <c r="V17" s="35"/>
      <c r="W17" s="35"/>
      <c r="X17" s="35"/>
      <c r="Y17" s="192">
        <f>SUM(30-J17)</f>
        <v>30</v>
      </c>
      <c r="Z17" s="193"/>
      <c r="AA17" s="194"/>
    </row>
    <row r="18" spans="10:27" ht="14.25" customHeight="1" thickTop="1">
      <c r="J18" s="186"/>
      <c r="K18" s="187"/>
      <c r="L18" s="188"/>
      <c r="M18" s="33"/>
      <c r="N18" s="33"/>
      <c r="O18" s="33"/>
      <c r="P18" s="102">
        <f>(M11*V11)+AI40</f>
        <v>6012.09</v>
      </c>
      <c r="Q18" s="103"/>
      <c r="R18" s="104"/>
      <c r="S18" s="111">
        <f>SUM(P18+P11)</f>
        <v>8588.7000000000007</v>
      </c>
      <c r="T18" s="112"/>
      <c r="U18" s="113"/>
      <c r="V18" s="35"/>
      <c r="W18" s="35"/>
      <c r="X18" s="35"/>
      <c r="Y18" s="195"/>
      <c r="Z18" s="196"/>
      <c r="AA18" s="197"/>
    </row>
    <row r="19" spans="10:27" ht="14.25" customHeight="1" thickBot="1">
      <c r="J19" s="189"/>
      <c r="K19" s="190"/>
      <c r="L19" s="191"/>
      <c r="M19" s="33"/>
      <c r="N19" s="33"/>
      <c r="O19" s="33"/>
      <c r="P19" s="105"/>
      <c r="Q19" s="106"/>
      <c r="R19" s="107"/>
      <c r="S19" s="114"/>
      <c r="T19" s="115"/>
      <c r="U19" s="116"/>
      <c r="V19" s="35"/>
      <c r="W19" s="35"/>
      <c r="X19" s="35"/>
      <c r="Y19" s="198"/>
      <c r="Z19" s="199"/>
      <c r="AA19" s="200"/>
    </row>
    <row r="20" spans="10:27" ht="14.25" customHeight="1" thickTop="1" thickBot="1">
      <c r="J20" s="18"/>
      <c r="K20" s="33"/>
      <c r="L20" s="33"/>
      <c r="M20" s="33"/>
      <c r="N20" s="33"/>
      <c r="O20" s="33"/>
      <c r="P20" s="108"/>
      <c r="Q20" s="109"/>
      <c r="R20" s="110"/>
      <c r="S20" s="117"/>
      <c r="T20" s="118"/>
      <c r="U20" s="119"/>
      <c r="V20" s="35"/>
      <c r="W20" s="35"/>
      <c r="X20" s="35"/>
      <c r="Y20" s="35"/>
      <c r="Z20" s="34"/>
      <c r="AA20" s="34"/>
    </row>
    <row r="21" spans="10:27" ht="14.25" customHeight="1" thickTop="1" thickBot="1">
      <c r="J21" s="18"/>
      <c r="K21" s="33"/>
      <c r="L21" s="33"/>
      <c r="M21" s="33"/>
      <c r="N21" s="33"/>
      <c r="O21" s="33"/>
      <c r="P21" s="33"/>
      <c r="Q21" s="33"/>
      <c r="R21" s="33"/>
      <c r="S21" s="33"/>
      <c r="T21" s="35"/>
      <c r="U21" s="35"/>
      <c r="V21" s="35"/>
      <c r="W21" s="35"/>
      <c r="X21" s="35"/>
      <c r="Y21" s="35"/>
      <c r="Z21" s="34"/>
      <c r="AA21" s="34"/>
    </row>
    <row r="22" spans="10:27" ht="14.25" customHeight="1" thickTop="1">
      <c r="J22" s="18"/>
      <c r="K22" s="33"/>
      <c r="L22" s="33"/>
      <c r="M22" s="33"/>
      <c r="N22" s="33"/>
      <c r="O22" s="33"/>
      <c r="P22" s="93" t="s">
        <v>8</v>
      </c>
      <c r="Q22" s="94"/>
      <c r="R22" s="94"/>
      <c r="S22" s="94"/>
      <c r="T22" s="94"/>
      <c r="U22" s="95"/>
      <c r="V22" s="35"/>
      <c r="W22" s="35"/>
      <c r="X22" s="35"/>
      <c r="Y22" s="35"/>
      <c r="Z22" s="34"/>
      <c r="AA22" s="34"/>
    </row>
    <row r="23" spans="10:27" ht="14.25" customHeight="1">
      <c r="J23" s="18"/>
      <c r="K23" s="33"/>
      <c r="L23" s="33"/>
      <c r="M23" s="33"/>
      <c r="N23" s="33"/>
      <c r="O23" s="33"/>
      <c r="P23" s="96"/>
      <c r="Q23" s="97"/>
      <c r="R23" s="97"/>
      <c r="S23" s="97"/>
      <c r="T23" s="97"/>
      <c r="U23" s="98"/>
      <c r="V23" s="35"/>
      <c r="W23" s="35"/>
      <c r="X23" s="35"/>
      <c r="Y23" s="35"/>
      <c r="Z23" s="34"/>
      <c r="AA23" s="34"/>
    </row>
    <row r="24" spans="10:27" ht="14.25" customHeight="1" thickBot="1">
      <c r="J24" s="18"/>
      <c r="K24" s="33"/>
      <c r="L24" s="33"/>
      <c r="M24" s="33"/>
      <c r="N24" s="33"/>
      <c r="O24" s="33"/>
      <c r="P24" s="99"/>
      <c r="Q24" s="100"/>
      <c r="R24" s="100"/>
      <c r="S24" s="100"/>
      <c r="T24" s="100"/>
      <c r="U24" s="101"/>
      <c r="V24" s="35"/>
      <c r="W24" s="35"/>
      <c r="X24" s="35"/>
      <c r="Y24" s="35"/>
      <c r="Z24" s="34"/>
      <c r="AA24" s="34"/>
    </row>
    <row r="25" spans="10:27" ht="14.25" customHeight="1" thickTop="1">
      <c r="J25" s="18"/>
      <c r="K25" s="33"/>
      <c r="L25" s="33"/>
      <c r="M25" s="33"/>
      <c r="N25" s="33"/>
      <c r="O25" s="33"/>
      <c r="P25" s="120">
        <v>1000</v>
      </c>
      <c r="Q25" s="121"/>
      <c r="R25" s="121"/>
      <c r="S25" s="121"/>
      <c r="T25" s="121"/>
      <c r="U25" s="122"/>
      <c r="V25" s="35"/>
      <c r="W25" s="35"/>
      <c r="X25" s="35"/>
      <c r="Y25" s="35"/>
      <c r="Z25" s="34"/>
      <c r="AA25" s="34"/>
    </row>
    <row r="26" spans="10:27" ht="14.25" customHeight="1">
      <c r="J26" s="18"/>
      <c r="K26" s="33"/>
      <c r="L26" s="33"/>
      <c r="M26" s="33"/>
      <c r="N26" s="33"/>
      <c r="O26" s="33"/>
      <c r="P26" s="123"/>
      <c r="Q26" s="124"/>
      <c r="R26" s="124"/>
      <c r="S26" s="124"/>
      <c r="T26" s="124"/>
      <c r="U26" s="125"/>
      <c r="V26" s="35"/>
      <c r="W26" s="35"/>
      <c r="X26" s="35"/>
      <c r="Y26" s="35"/>
      <c r="Z26" s="34"/>
      <c r="AA26" s="34"/>
    </row>
    <row r="27" spans="10:27" ht="14.25" customHeight="1" thickBot="1">
      <c r="J27" s="18"/>
      <c r="K27" s="33"/>
      <c r="L27" s="33"/>
      <c r="M27" s="33"/>
      <c r="N27" s="33"/>
      <c r="O27" s="33"/>
      <c r="P27" s="126"/>
      <c r="Q27" s="127"/>
      <c r="R27" s="127"/>
      <c r="S27" s="127"/>
      <c r="T27" s="127"/>
      <c r="U27" s="128"/>
      <c r="V27" s="35"/>
      <c r="W27" s="35"/>
      <c r="X27" s="35"/>
      <c r="Y27" s="35"/>
      <c r="Z27" s="34"/>
      <c r="AA27" s="34"/>
    </row>
    <row r="28" spans="10:27" ht="14.25" customHeight="1" thickTop="1" thickBot="1">
      <c r="J28" s="18"/>
      <c r="K28" s="33"/>
      <c r="L28" s="33"/>
      <c r="M28" s="33"/>
      <c r="N28" s="33"/>
      <c r="O28" s="33"/>
      <c r="P28" s="33"/>
      <c r="Q28" s="33"/>
      <c r="R28" s="33"/>
      <c r="S28" s="33"/>
      <c r="T28" s="35"/>
      <c r="U28" s="35"/>
      <c r="V28" s="35"/>
      <c r="W28" s="35"/>
      <c r="X28" s="35"/>
      <c r="Y28" s="35"/>
      <c r="Z28" s="34"/>
      <c r="AA28" s="34"/>
    </row>
    <row r="29" spans="10:27" ht="14.25" customHeight="1" thickTop="1">
      <c r="J29" s="18"/>
      <c r="K29" s="33"/>
      <c r="L29" s="33"/>
      <c r="M29" s="33"/>
      <c r="N29" s="33"/>
      <c r="O29" s="33"/>
      <c r="P29" s="93" t="s">
        <v>12</v>
      </c>
      <c r="Q29" s="94"/>
      <c r="R29" s="95"/>
      <c r="S29" s="93" t="s">
        <v>13</v>
      </c>
      <c r="T29" s="94"/>
      <c r="U29" s="95"/>
      <c r="V29" s="35"/>
      <c r="W29" s="35"/>
      <c r="X29" s="35"/>
      <c r="Y29" s="35"/>
      <c r="Z29" s="34"/>
      <c r="AA29" s="34"/>
    </row>
    <row r="30" spans="10:27" ht="14.25" customHeight="1">
      <c r="J30" s="18"/>
      <c r="K30" s="33"/>
      <c r="L30" s="33"/>
      <c r="M30" s="33"/>
      <c r="N30" s="33"/>
      <c r="O30" s="33"/>
      <c r="P30" s="96"/>
      <c r="Q30" s="97"/>
      <c r="R30" s="98"/>
      <c r="S30" s="96"/>
      <c r="T30" s="97"/>
      <c r="U30" s="98"/>
      <c r="V30" s="35"/>
      <c r="W30" s="35"/>
      <c r="X30" s="35"/>
      <c r="Y30" s="35"/>
      <c r="Z30" s="34"/>
      <c r="AA30" s="34"/>
    </row>
    <row r="31" spans="10:27" ht="14.25" customHeight="1" thickBot="1">
      <c r="J31" s="18"/>
      <c r="K31" s="33"/>
      <c r="L31" s="33"/>
      <c r="M31" s="33"/>
      <c r="N31" s="33"/>
      <c r="O31" s="33"/>
      <c r="P31" s="99"/>
      <c r="Q31" s="100"/>
      <c r="R31" s="101"/>
      <c r="S31" s="99"/>
      <c r="T31" s="100"/>
      <c r="U31" s="101"/>
      <c r="V31" s="35"/>
      <c r="W31" s="35"/>
      <c r="X31" s="35"/>
      <c r="Y31" s="35"/>
      <c r="Z31" s="34"/>
      <c r="AA31" s="34"/>
    </row>
    <row r="32" spans="10:27" ht="14.25" customHeight="1" thickTop="1">
      <c r="J32" s="18"/>
      <c r="K32" s="33"/>
      <c r="L32" s="33"/>
      <c r="M32" s="33"/>
      <c r="N32" s="33"/>
      <c r="O32" s="33"/>
      <c r="P32" s="102">
        <f>SUM(P18-P25)</f>
        <v>5012.09</v>
      </c>
      <c r="Q32" s="103"/>
      <c r="R32" s="104"/>
      <c r="S32" s="111">
        <f>SUM(S18-P25)</f>
        <v>7588.7000000000007</v>
      </c>
      <c r="T32" s="112"/>
      <c r="U32" s="113"/>
      <c r="V32" s="35"/>
      <c r="W32" s="35"/>
      <c r="X32" s="35"/>
      <c r="Y32" s="35"/>
      <c r="Z32" s="34"/>
      <c r="AA32" s="34"/>
    </row>
    <row r="33" spans="2:38" ht="14.25" customHeight="1">
      <c r="J33" s="18"/>
      <c r="K33" s="33"/>
      <c r="L33" s="33"/>
      <c r="M33" s="33"/>
      <c r="N33" s="33"/>
      <c r="O33" s="33"/>
      <c r="P33" s="105"/>
      <c r="Q33" s="106"/>
      <c r="R33" s="107"/>
      <c r="S33" s="114"/>
      <c r="T33" s="115"/>
      <c r="U33" s="116"/>
      <c r="V33" s="35"/>
      <c r="W33" s="35"/>
      <c r="X33" s="35"/>
      <c r="Y33" s="35"/>
      <c r="Z33" s="34"/>
      <c r="AA33" s="34"/>
    </row>
    <row r="34" spans="2:38" ht="14.25" customHeight="1" thickBot="1">
      <c r="J34" s="18"/>
      <c r="K34" s="33"/>
      <c r="L34" s="33"/>
      <c r="M34" s="33"/>
      <c r="N34" s="33"/>
      <c r="O34" s="33"/>
      <c r="P34" s="108"/>
      <c r="Q34" s="109"/>
      <c r="R34" s="110"/>
      <c r="S34" s="117"/>
      <c r="T34" s="118"/>
      <c r="U34" s="119"/>
      <c r="V34" s="35"/>
      <c r="W34" s="35"/>
      <c r="X34" s="35"/>
      <c r="Y34" s="35"/>
      <c r="Z34" s="34"/>
      <c r="AA34" s="34"/>
    </row>
    <row r="35" spans="2:38" ht="14.25" customHeight="1" thickTop="1" thickBot="1"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2:38" ht="30" customHeight="1" thickTop="1" thickBo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I36" s="13">
        <f>SUM(C36:AG36)</f>
        <v>0</v>
      </c>
      <c r="AJ36" s="15" t="s">
        <v>5</v>
      </c>
    </row>
    <row r="37" spans="2:38" ht="30" customHeight="1" thickTop="1" thickBot="1">
      <c r="B37" s="2" t="s">
        <v>0</v>
      </c>
      <c r="C37" s="38">
        <v>27</v>
      </c>
      <c r="D37" s="21">
        <v>28</v>
      </c>
      <c r="E37" s="21">
        <v>29</v>
      </c>
      <c r="F37" s="21">
        <v>30</v>
      </c>
      <c r="G37" s="10">
        <v>31</v>
      </c>
      <c r="H37" s="21">
        <v>1</v>
      </c>
      <c r="I37" s="21">
        <v>2</v>
      </c>
      <c r="J37" s="21">
        <v>3</v>
      </c>
      <c r="K37" s="38">
        <v>4</v>
      </c>
      <c r="L37" s="21">
        <v>5</v>
      </c>
      <c r="M37" s="21">
        <v>6</v>
      </c>
      <c r="N37" s="21">
        <v>7</v>
      </c>
      <c r="O37" s="21">
        <v>8</v>
      </c>
      <c r="P37" s="21">
        <v>9</v>
      </c>
      <c r="Q37" s="21">
        <v>10</v>
      </c>
      <c r="R37" s="38">
        <v>11</v>
      </c>
      <c r="S37" s="21">
        <v>12</v>
      </c>
      <c r="T37" s="21">
        <v>13</v>
      </c>
      <c r="U37" s="21">
        <v>14</v>
      </c>
      <c r="V37" s="21">
        <v>15</v>
      </c>
      <c r="W37" s="21">
        <v>16</v>
      </c>
      <c r="X37" s="21">
        <v>17</v>
      </c>
      <c r="Y37" s="38">
        <v>18</v>
      </c>
      <c r="Z37" s="21">
        <v>19</v>
      </c>
      <c r="AA37" s="21">
        <v>20</v>
      </c>
      <c r="AB37" s="21">
        <v>21</v>
      </c>
      <c r="AC37" s="21">
        <v>22</v>
      </c>
      <c r="AD37" s="21">
        <v>23</v>
      </c>
      <c r="AE37" s="21">
        <v>24</v>
      </c>
      <c r="AF37" s="38">
        <v>25</v>
      </c>
      <c r="AG37" s="29">
        <v>26</v>
      </c>
      <c r="AL37" s="5"/>
    </row>
    <row r="38" spans="2:38" ht="30" customHeight="1" thickTop="1" thickBot="1">
      <c r="B38" s="3" t="s">
        <v>1</v>
      </c>
      <c r="C38" s="39">
        <v>1</v>
      </c>
      <c r="D38" s="23">
        <v>1</v>
      </c>
      <c r="E38" s="23">
        <v>1</v>
      </c>
      <c r="F38" s="23">
        <v>1</v>
      </c>
      <c r="G38" s="11">
        <v>0</v>
      </c>
      <c r="H38" s="23">
        <v>1</v>
      </c>
      <c r="I38" s="23">
        <v>1</v>
      </c>
      <c r="J38" s="23">
        <v>1</v>
      </c>
      <c r="K38" s="39">
        <v>1</v>
      </c>
      <c r="L38" s="23">
        <v>1</v>
      </c>
      <c r="M38" s="23">
        <v>1</v>
      </c>
      <c r="N38" s="23">
        <v>1</v>
      </c>
      <c r="O38" s="23">
        <v>1</v>
      </c>
      <c r="P38" s="23">
        <v>1</v>
      </c>
      <c r="Q38" s="23">
        <v>1</v>
      </c>
      <c r="R38" s="39">
        <v>1</v>
      </c>
      <c r="S38" s="23">
        <v>1</v>
      </c>
      <c r="T38" s="23">
        <v>1</v>
      </c>
      <c r="U38" s="23">
        <v>1</v>
      </c>
      <c r="V38" s="23">
        <v>1</v>
      </c>
      <c r="W38" s="23">
        <v>1</v>
      </c>
      <c r="X38" s="23">
        <v>1</v>
      </c>
      <c r="Y38" s="39">
        <v>1</v>
      </c>
      <c r="Z38" s="23">
        <v>1</v>
      </c>
      <c r="AA38" s="23">
        <v>1</v>
      </c>
      <c r="AB38" s="23">
        <v>1</v>
      </c>
      <c r="AC38" s="23">
        <v>1</v>
      </c>
      <c r="AD38" s="23">
        <v>1</v>
      </c>
      <c r="AE38" s="23">
        <v>1</v>
      </c>
      <c r="AF38" s="39">
        <v>1</v>
      </c>
      <c r="AG38" s="30">
        <v>1</v>
      </c>
      <c r="AI38" s="4">
        <f>SUM(C38:AG38)</f>
        <v>30</v>
      </c>
      <c r="AJ38" s="15" t="s">
        <v>3</v>
      </c>
    </row>
    <row r="39" spans="2:38" ht="30" customHeight="1" thickTop="1" thickBot="1">
      <c r="B39" s="7" t="s">
        <v>2</v>
      </c>
      <c r="C39" s="40">
        <v>3</v>
      </c>
      <c r="D39" s="25">
        <v>1</v>
      </c>
      <c r="E39" s="25">
        <v>1</v>
      </c>
      <c r="F39" s="25">
        <v>1</v>
      </c>
      <c r="G39" s="12">
        <v>0</v>
      </c>
      <c r="H39" s="25">
        <v>1</v>
      </c>
      <c r="I39" s="25">
        <v>1</v>
      </c>
      <c r="J39" s="25">
        <v>1</v>
      </c>
      <c r="K39" s="40">
        <v>3</v>
      </c>
      <c r="L39" s="25">
        <v>1</v>
      </c>
      <c r="M39" s="25">
        <v>1</v>
      </c>
      <c r="N39" s="25">
        <v>1</v>
      </c>
      <c r="O39" s="25">
        <v>1</v>
      </c>
      <c r="P39" s="25">
        <v>1</v>
      </c>
      <c r="Q39" s="25">
        <v>1</v>
      </c>
      <c r="R39" s="40">
        <v>3</v>
      </c>
      <c r="S39" s="25">
        <v>1</v>
      </c>
      <c r="T39" s="25">
        <v>1</v>
      </c>
      <c r="U39" s="25">
        <v>1</v>
      </c>
      <c r="V39" s="25">
        <v>1</v>
      </c>
      <c r="W39" s="25">
        <v>1</v>
      </c>
      <c r="X39" s="25">
        <v>1</v>
      </c>
      <c r="Y39" s="40">
        <v>3</v>
      </c>
      <c r="Z39" s="25">
        <v>1</v>
      </c>
      <c r="AA39" s="25">
        <v>1</v>
      </c>
      <c r="AB39" s="25">
        <v>1</v>
      </c>
      <c r="AC39" s="25">
        <v>1</v>
      </c>
      <c r="AD39" s="25">
        <v>1</v>
      </c>
      <c r="AE39" s="25">
        <v>1</v>
      </c>
      <c r="AF39" s="40">
        <v>3</v>
      </c>
      <c r="AG39" s="31">
        <v>1</v>
      </c>
      <c r="AI39" s="6">
        <f>SUM(C39:AG39)</f>
        <v>40</v>
      </c>
      <c r="AJ39" s="17" t="s">
        <v>6</v>
      </c>
    </row>
    <row r="40" spans="2:38" ht="30" customHeight="1" thickTop="1" thickBot="1">
      <c r="B40" s="8"/>
      <c r="C40" s="41"/>
      <c r="D40" s="27"/>
      <c r="E40" s="27"/>
      <c r="F40" s="27"/>
      <c r="G40" s="19"/>
      <c r="H40" s="27"/>
      <c r="I40" s="27"/>
      <c r="J40" s="27"/>
      <c r="K40" s="41"/>
      <c r="L40" s="27"/>
      <c r="M40" s="27"/>
      <c r="N40" s="27"/>
      <c r="O40" s="27"/>
      <c r="P40" s="27"/>
      <c r="Q40" s="27"/>
      <c r="R40" s="41"/>
      <c r="S40" s="27"/>
      <c r="T40" s="27"/>
      <c r="U40" s="27"/>
      <c r="V40" s="27"/>
      <c r="W40" s="27"/>
      <c r="X40" s="27"/>
      <c r="Y40" s="41"/>
      <c r="Z40" s="27"/>
      <c r="AA40" s="27"/>
      <c r="AB40" s="27"/>
      <c r="AC40" s="27"/>
      <c r="AD40" s="27"/>
      <c r="AE40" s="27"/>
      <c r="AF40" s="41"/>
      <c r="AG40" s="28"/>
      <c r="AI40" s="9">
        <f>SUM(C40:AG40)</f>
        <v>0</v>
      </c>
      <c r="AJ40" s="16" t="s">
        <v>7</v>
      </c>
    </row>
    <row r="41" spans="2:38" ht="30" customHeight="1" thickTop="1"/>
    <row r="42" spans="2:38" ht="30" customHeight="1"/>
    <row r="43" spans="2:38" ht="30" customHeight="1"/>
    <row r="44" spans="2:38" ht="30" customHeight="1"/>
    <row r="45" spans="2:38" ht="30" customHeight="1"/>
    <row r="46" spans="2:38" ht="30" customHeight="1"/>
    <row r="47" spans="2:38" ht="30" customHeight="1"/>
    <row r="48" spans="2:3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</sheetData>
  <mergeCells count="21">
    <mergeCell ref="J14:L16"/>
    <mergeCell ref="J17:L19"/>
    <mergeCell ref="Y14:AA16"/>
    <mergeCell ref="Y17:AA19"/>
    <mergeCell ref="J2:AA5"/>
    <mergeCell ref="M8:O10"/>
    <mergeCell ref="P8:U10"/>
    <mergeCell ref="V8:X10"/>
    <mergeCell ref="M11:O13"/>
    <mergeCell ref="P11:U13"/>
    <mergeCell ref="V11:X13"/>
    <mergeCell ref="P15:R17"/>
    <mergeCell ref="S15:U17"/>
    <mergeCell ref="P18:R20"/>
    <mergeCell ref="S18:U20"/>
    <mergeCell ref="P22:U24"/>
    <mergeCell ref="P25:U27"/>
    <mergeCell ref="P29:R31"/>
    <mergeCell ref="S29:U31"/>
    <mergeCell ref="P32:R34"/>
    <mergeCell ref="S32:U34"/>
  </mergeCells>
  <phoneticPr fontId="6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2026-06-18T13:33:20Z</dcterms:modified>
</cp:coreProperties>
</file>